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Log" sheetId="2" state="visible" r:id="rId2"/>
    <sheet xmlns:r="http://schemas.openxmlformats.org/officeDocument/2006/relationships" name="Product Breakdown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Platforms" sheetId="5" state="visible" r:id="rId5"/>
  </sheets>
  <definedNames>
    <definedName name="_xlnm._FilterDatabase" localSheetId="1" hidden="1">'Sales Log'!$A$1:$K$212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\$#,##0.00"/>
    <numFmt numFmtId="167" formatCode="\$#,##0.00;[RED]&quot;(-$&quot;#,##0.00\)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A1A1A"/>
      <sz val="16"/>
    </font>
    <font>
      <name val="Calibri"/>
      <charset val="1"/>
      <family val="0"/>
      <i val="1"/>
      <color rgb="FF777777"/>
      <sz val="9"/>
    </font>
    <font>
      <name val="Calibri"/>
      <charset val="1"/>
      <family val="0"/>
      <color rgb="FF888888"/>
      <sz val="8"/>
    </font>
    <font>
      <name val="Calibri"/>
      <charset val="1"/>
      <family val="0"/>
      <b val="1"/>
      <color rgb="FF27AE60"/>
      <sz val="16"/>
    </font>
    <font>
      <name val="Calibri"/>
      <charset val="1"/>
      <family val="0"/>
      <b val="1"/>
      <color rgb="FF1A1A1A"/>
      <sz val="10"/>
    </font>
    <font>
      <name val="Calibri"/>
      <charset val="1"/>
      <family val="0"/>
      <color rgb="FF1A1A1A"/>
      <sz val="9"/>
    </font>
    <font>
      <name val="Calibri"/>
      <charset val="1"/>
      <family val="0"/>
      <b val="1"/>
      <color rgb="FF888888"/>
      <sz val="8"/>
    </font>
    <font>
      <name val="Calibri"/>
      <charset val="1"/>
      <family val="0"/>
      <b val="1"/>
      <color rgb="FF1A1A1A"/>
      <sz val="9"/>
    </font>
    <font>
      <name val="Calibri"/>
      <charset val="1"/>
      <family val="0"/>
      <i val="1"/>
      <color rgb="FF888888"/>
      <sz val="8"/>
    </font>
    <font>
      <name val="Calibri"/>
      <charset val="1"/>
      <family val="0"/>
      <color rgb="FF27AE60"/>
      <sz val="9"/>
    </font>
    <font>
      <name val="Calibri"/>
      <charset val="1"/>
      <family val="0"/>
      <b val="1"/>
      <color rgb="FFB91C1C"/>
      <sz val="9"/>
    </font>
    <font>
      <name val="Calibri"/>
      <charset val="1"/>
      <family val="0"/>
      <b val="1"/>
      <color rgb="FF1A1A1A"/>
      <sz val="14"/>
    </font>
    <font>
      <name val="Calibri"/>
      <charset val="1"/>
      <family val="0"/>
      <b val="1"/>
      <color rgb="FF27AE60"/>
      <sz val="9"/>
    </font>
    <font>
      <name val="Calibri"/>
      <charset val="1"/>
      <family val="0"/>
      <i val="1"/>
      <color rgb="FF555555"/>
      <sz val="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FF888888"/>
      <sz val="9"/>
    </font>
  </fonts>
  <fills count="6">
    <fill>
      <patternFill/>
    </fill>
    <fill>
      <patternFill patternType="gray125"/>
    </fill>
    <fill>
      <patternFill patternType="solid">
        <fgColor rgb="FFEDEDED"/>
        <bgColor rgb="FFF7F7F7"/>
      </patternFill>
    </fill>
    <fill>
      <patternFill patternType="solid">
        <fgColor rgb="FFF7F7F7"/>
        <bgColor rgb="FFFFF0F0"/>
      </patternFill>
    </fill>
    <fill>
      <patternFill patternType="solid">
        <fgColor rgb="FFFFFFFF"/>
        <bgColor rgb="FFF7F7F7"/>
      </patternFill>
    </fill>
    <fill>
      <patternFill patternType="solid">
        <fgColor rgb="FFFFF0F0"/>
        <bgColor rgb="FFF7F7F7"/>
      </patternFill>
    </fill>
  </fills>
  <borders count="7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hair">
        <color rgb="FFE0E0E0"/>
      </bottom>
      <diagonal/>
    </border>
    <border>
      <left/>
      <right/>
      <top/>
      <bottom style="thin">
        <color rgb="FFBBBBBB"/>
      </bottom>
      <diagonal/>
    </border>
    <border>
      <left/>
      <right/>
      <top style="medium">
        <color rgb="FFAAAAAA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2" borderId="5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/>
    </xf>
    <xf numFmtId="166" fontId="9" fillId="3" borderId="3" applyAlignment="1" pivotButton="0" quotePrefix="0" xfId="0">
      <alignment horizontal="right" vertical="center"/>
    </xf>
    <xf numFmtId="167" fontId="9" fillId="3" borderId="3" applyAlignment="1" pivotButton="0" quotePrefix="0" xfId="0">
      <alignment horizontal="right" vertical="center"/>
    </xf>
    <xf numFmtId="165" fontId="9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166" fontId="9" fillId="4" borderId="3" applyAlignment="1" pivotButton="0" quotePrefix="0" xfId="0">
      <alignment horizontal="right" vertical="center"/>
    </xf>
    <xf numFmtId="167" fontId="9" fillId="4" borderId="3" applyAlignment="1" pivotButton="0" quotePrefix="0" xfId="0">
      <alignment horizontal="right" vertical="center"/>
    </xf>
    <xf numFmtId="165" fontId="9" fillId="4" borderId="3" applyAlignment="1" pivotButton="0" quotePrefix="0" xfId="0">
      <alignment horizontal="right" vertical="center"/>
    </xf>
    <xf numFmtId="0" fontId="13" fillId="4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/>
    </xf>
    <xf numFmtId="166" fontId="9" fillId="5" borderId="3" applyAlignment="1" pivotButton="0" quotePrefix="0" xfId="0">
      <alignment horizontal="right" vertical="center"/>
    </xf>
    <xf numFmtId="167" fontId="9" fillId="5" borderId="3" applyAlignment="1" pivotButton="0" quotePrefix="0" xfId="0">
      <alignment horizontal="right" vertical="center"/>
    </xf>
    <xf numFmtId="165" fontId="9" fillId="5" borderId="3" applyAlignment="1" pivotButton="0" quotePrefix="0" xfId="0">
      <alignment horizontal="right" vertical="center"/>
    </xf>
    <xf numFmtId="0" fontId="14" fillId="5" borderId="3" applyAlignment="1" pivotButton="0" quotePrefix="0" xfId="0">
      <alignment horizontal="center" vertical="center"/>
    </xf>
    <xf numFmtId="0" fontId="11" fillId="2" borderId="6" applyAlignment="1" pivotButton="0" quotePrefix="0" xfId="0">
      <alignment horizontal="left" vertical="center"/>
    </xf>
    <xf numFmtId="0" fontId="11" fillId="2" borderId="6" applyAlignment="1" pivotButton="0" quotePrefix="0" xfId="0">
      <alignment horizontal="center" vertical="center"/>
    </xf>
    <xf numFmtId="166" fontId="11" fillId="2" borderId="6" applyAlignment="1" pivotButton="0" quotePrefix="0" xfId="0">
      <alignment horizontal="right" vertical="center"/>
    </xf>
    <xf numFmtId="0" fontId="11" fillId="2" borderId="6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10" fillId="0" borderId="5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 vertical="center"/>
    </xf>
    <xf numFmtId="3" fontId="9" fillId="4" borderId="3" applyAlignment="1" pivotButton="0" quotePrefix="0" xfId="0">
      <alignment horizontal="right" vertical="center"/>
    </xf>
    <xf numFmtId="166" fontId="16" fillId="4" borderId="3" applyAlignment="1" pivotButton="0" quotePrefix="0" xfId="0">
      <alignment horizontal="right" vertical="center"/>
    </xf>
    <xf numFmtId="0" fontId="17" fillId="4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left" vertical="center"/>
    </xf>
    <xf numFmtId="3" fontId="9" fillId="3" borderId="3" applyAlignment="1" pivotButton="0" quotePrefix="0" xfId="0">
      <alignment horizontal="right" vertical="center"/>
    </xf>
    <xf numFmtId="166" fontId="16" fillId="3" borderId="3" applyAlignment="1" pivotButton="0" quotePrefix="0" xfId="0">
      <alignment horizontal="right" vertical="center"/>
    </xf>
    <xf numFmtId="0" fontId="17" fillId="3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left" vertical="center"/>
    </xf>
    <xf numFmtId="0" fontId="9" fillId="3" borderId="3" applyAlignment="1" pivotButton="0" quotePrefix="0" xfId="0">
      <alignment horizontal="right" vertical="center"/>
    </xf>
    <xf numFmtId="0" fontId="9" fillId="4" borderId="3" applyAlignment="1" pivotButton="0" quotePrefix="0" xfId="0">
      <alignment horizontal="right" vertical="center"/>
    </xf>
    <xf numFmtId="166" fontId="16" fillId="2" borderId="6" applyAlignment="1" pivotButton="0" quotePrefix="0" xfId="0">
      <alignment horizontal="right" vertical="center"/>
    </xf>
    <xf numFmtId="0" fontId="12" fillId="3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general" vertical="bottom"/>
    </xf>
    <xf numFmtId="0" fontId="21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 wrapText="1"/>
    </xf>
    <xf numFmtId="0" fontId="21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9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0" fillId="0" borderId="0" applyAlignment="1" pivotButton="0" quotePrefix="0" xfId="0">
      <alignment horizontal="general" vertical="bottom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2" borderId="5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/>
    </xf>
    <xf numFmtId="166" fontId="9" fillId="3" borderId="3" applyAlignment="1" pivotButton="0" quotePrefix="0" xfId="0">
      <alignment horizontal="right" vertical="center"/>
    </xf>
    <xf numFmtId="167" fontId="9" fillId="3" borderId="3" applyAlignment="1" pivotButton="0" quotePrefix="0" xfId="0">
      <alignment horizontal="right" vertical="center"/>
    </xf>
    <xf numFmtId="165" fontId="9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166" fontId="9" fillId="4" borderId="3" applyAlignment="1" pivotButton="0" quotePrefix="0" xfId="0">
      <alignment horizontal="right" vertical="center"/>
    </xf>
    <xf numFmtId="167" fontId="9" fillId="4" borderId="3" applyAlignment="1" pivotButton="0" quotePrefix="0" xfId="0">
      <alignment horizontal="right" vertical="center"/>
    </xf>
    <xf numFmtId="165" fontId="9" fillId="4" borderId="3" applyAlignment="1" pivotButton="0" quotePrefix="0" xfId="0">
      <alignment horizontal="right" vertical="center"/>
    </xf>
    <xf numFmtId="0" fontId="13" fillId="4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/>
    </xf>
    <xf numFmtId="166" fontId="9" fillId="5" borderId="3" applyAlignment="1" pivotButton="0" quotePrefix="0" xfId="0">
      <alignment horizontal="right" vertical="center"/>
    </xf>
    <xf numFmtId="167" fontId="9" fillId="5" borderId="3" applyAlignment="1" pivotButton="0" quotePrefix="0" xfId="0">
      <alignment horizontal="right" vertical="center"/>
    </xf>
    <xf numFmtId="165" fontId="9" fillId="5" borderId="3" applyAlignment="1" pivotButton="0" quotePrefix="0" xfId="0">
      <alignment horizontal="right" vertical="center"/>
    </xf>
    <xf numFmtId="0" fontId="14" fillId="5" borderId="3" applyAlignment="1" pivotButton="0" quotePrefix="0" xfId="0">
      <alignment horizontal="center" vertical="center"/>
    </xf>
    <xf numFmtId="0" fontId="11" fillId="2" borderId="6" applyAlignment="1" pivotButton="0" quotePrefix="0" xfId="0">
      <alignment horizontal="left" vertical="center"/>
    </xf>
    <xf numFmtId="0" fontId="11" fillId="2" borderId="6" applyAlignment="1" pivotButton="0" quotePrefix="0" xfId="0">
      <alignment horizontal="center" vertical="center"/>
    </xf>
    <xf numFmtId="166" fontId="11" fillId="2" borderId="6" applyAlignment="1" pivotButton="0" quotePrefix="0" xfId="0">
      <alignment horizontal="right" vertical="center"/>
    </xf>
    <xf numFmtId="0" fontId="11" fillId="2" borderId="6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10" fillId="0" borderId="5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 vertical="center"/>
    </xf>
    <xf numFmtId="3" fontId="9" fillId="4" borderId="3" applyAlignment="1" pivotButton="0" quotePrefix="0" xfId="0">
      <alignment horizontal="right" vertical="center"/>
    </xf>
    <xf numFmtId="166" fontId="16" fillId="4" borderId="3" applyAlignment="1" pivotButton="0" quotePrefix="0" xfId="0">
      <alignment horizontal="right" vertical="center"/>
    </xf>
    <xf numFmtId="0" fontId="17" fillId="4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left" vertical="center"/>
    </xf>
    <xf numFmtId="3" fontId="9" fillId="3" borderId="3" applyAlignment="1" pivotButton="0" quotePrefix="0" xfId="0">
      <alignment horizontal="right" vertical="center"/>
    </xf>
    <xf numFmtId="166" fontId="16" fillId="3" borderId="3" applyAlignment="1" pivotButton="0" quotePrefix="0" xfId="0">
      <alignment horizontal="right" vertical="center"/>
    </xf>
    <xf numFmtId="0" fontId="17" fillId="3" borderId="3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/>
    </xf>
    <xf numFmtId="0" fontId="9" fillId="3" borderId="3" applyAlignment="1" pivotButton="0" quotePrefix="0" xfId="0">
      <alignment horizontal="right" vertical="center"/>
    </xf>
    <xf numFmtId="0" fontId="9" fillId="4" borderId="3" applyAlignment="1" pivotButton="0" quotePrefix="0" xfId="0">
      <alignment horizontal="right" vertical="center"/>
    </xf>
    <xf numFmtId="166" fontId="16" fillId="2" borderId="6" applyAlignment="1" pivotButton="0" quotePrefix="0" xfId="0">
      <alignment horizontal="right" vertical="center"/>
    </xf>
    <xf numFmtId="0" fontId="12" fillId="3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general" vertical="bottom"/>
    </xf>
    <xf numFmtId="0" fontId="0" fillId="0" borderId="5" pivotButton="0" quotePrefix="0" xfId="0"/>
    <xf numFmtId="0" fontId="21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 wrapText="1"/>
    </xf>
    <xf numFmtId="0" fontId="21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EDEDED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7F7F7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F0"/>
      <rgbColor rgb="FFE0E0E0"/>
      <rgbColor rgb="FFFFFF99"/>
      <rgbColor rgb="FFCCCCCC"/>
      <rgbColor rgb="FFFF99CC"/>
      <rgbColor rgb="FFB3B3B3"/>
      <rgbColor rgb="FFD9D9D9"/>
      <rgbColor rgb="FF4F81BD"/>
      <rgbColor rgb="FF33CCCC"/>
      <rgbColor rgb="FF99CC00"/>
      <rgbColor rgb="FFFFCC00"/>
      <rgbColor rgb="FFFF9900"/>
      <rgbColor rgb="FFFF6600"/>
      <rgbColor rgb="FF777777"/>
      <rgbColor rgb="FFAAAAAA"/>
      <rgbColor rgb="FF003366"/>
      <rgbColor rgb="FF27AE60"/>
      <rgbColor rgb="FF003300"/>
      <rgbColor rgb="FF333300"/>
      <rgbColor rgb="FFB91C1C"/>
      <rgbColor rgb="FF993366"/>
      <rgbColor rgb="FF555555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by Product Type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'Product Breakdown'!E4</f>
              <strCache>
                <ptCount val="1"/>
                <pt idx="0">
                  <v>Profit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'Product Breakdown'!$A$5:$A$7</f>
              <strCache>
                <ptCount val="3"/>
                <pt idx="0">
                  <v>ETB</v>
                </pt>
                <pt idx="1">
                  <v>Booster Pack Bundle</v>
                </pt>
                <pt idx="2">
                  <v>Special Products</v>
                </pt>
              </strCache>
            </strRef>
          </cat>
          <val>
            <numRef>
              <f>'Product Breakdown'!$E$5:$E$7</f>
              <numCache>
                <formatCode>\$#,##0.00</formatCode>
                <ptCount val="3"/>
                <pt idx="0">
                  <v>1244.29</v>
                </pt>
                <pt idx="1">
                  <v>872.53</v>
                </pt>
                <pt idx="2">
                  <v>801.0700000000001</v>
                </pt>
              </numCache>
            </numRef>
          </val>
        </ser>
        <gapWidth val="150"/>
        <overlap val="0"/>
        <axId val="84467504"/>
        <axId val="87633836"/>
      </barChart>
      <catAx>
        <axId val="844675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7633836"/>
        <crosses val="autoZero"/>
        <auto val="1"/>
        <lblAlgn val="ctr"/>
        <lblOffset val="100"/>
        <noMultiLvlLbl val="0"/>
      </catAx>
      <valAx>
        <axId val="87633836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44675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&amp; Profit by Month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Monthly!C3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Monthly!$A$4:$A$7</f>
              <strCache>
                <ptCount val="4"/>
                <pt idx="0">
                  <v>Jun 2025</v>
                </pt>
                <pt idx="1">
                  <v>Jul 2025</v>
                </pt>
                <pt idx="2">
                  <v>Aug 2025</v>
                </pt>
                <pt idx="3">
                  <v>Sep 2025</v>
                </pt>
              </strCache>
            </strRef>
          </cat>
          <val>
            <numRef>
              <f>Monthly!$C$4:$C$7</f>
              <numCache>
                <formatCode>\$#,##0.00</formatCode>
                <ptCount val="4"/>
                <pt idx="0">
                  <v>2451.33</v>
                </pt>
                <pt idx="1">
                  <v>3671.38</v>
                </pt>
                <pt idx="2">
                  <v>2809.13</v>
                </pt>
                <pt idx="3">
                  <v>3123.23</v>
                </pt>
              </numCache>
            </numRef>
          </val>
          <smooth val="1"/>
        </ser>
        <ser>
          <idx val="1"/>
          <order val="1"/>
          <tx>
            <strRef>
              <f>Monthly!E3</f>
              <strCache>
                <ptCount val="1"/>
                <pt idx="0">
                  <v>Profit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Monthly!$A$4:$A$7</f>
              <strCache>
                <ptCount val="4"/>
                <pt idx="0">
                  <v>Jun 2025</v>
                </pt>
                <pt idx="1">
                  <v>Jul 2025</v>
                </pt>
                <pt idx="2">
                  <v>Aug 2025</v>
                </pt>
                <pt idx="3">
                  <v>Sep 2025</v>
                </pt>
              </strCache>
            </strRef>
          </cat>
          <val>
            <numRef>
              <f>Monthly!$E$4:$E$7</f>
              <numCache>
                <formatCode>\$#,##0.00</formatCode>
                <ptCount val="4"/>
                <pt idx="0">
                  <v>580.4</v>
                </pt>
                <pt idx="1">
                  <v>943.37</v>
                </pt>
                <pt idx="2">
                  <v>628.84</v>
                </pt>
                <pt idx="3">
                  <v>765.28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2039237"/>
        <axId val="46392226"/>
      </lineChart>
      <catAx>
        <axId val="1203923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6392226"/>
        <crosses val="autoZero"/>
        <auto val="1"/>
        <lblAlgn val="ctr"/>
        <lblOffset val="100"/>
        <noMultiLvlLbl val="0"/>
      </catAx>
      <valAx>
        <axId val="46392226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203923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6</col>
      <colOff>136080</colOff>
      <row>28</row>
      <rowOff>90360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8</col>
      <colOff>151200</colOff>
      <row>31</row>
      <rowOff>128520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H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63" min="1" max="1"/>
    <col width="20" customWidth="1" style="63" min="2" max="3"/>
    <col width="18" customWidth="1" style="63" min="4" max="8"/>
  </cols>
  <sheetData>
    <row r="2" ht="33.75" customHeight="1" s="64">
      <c r="B2" s="65" t="inlineStr">
        <is>
          <t>Pokemon Card Resale - Jun to Sep 2025</t>
        </is>
      </c>
    </row>
    <row r="3" ht="18" customHeight="1" s="64">
      <c r="B3" s="66" t="inlineStr">
        <is>
          <t>Personal sales tracker · eBay, TCGPlayer, Facebook Marketplace · Houston TX</t>
        </is>
      </c>
    </row>
    <row r="4" ht="7.5" customHeight="1" s="64"/>
    <row r="5" ht="15.75" customHeight="1" s="64">
      <c r="B5" s="67" t="inlineStr">
        <is>
          <t>Total sales</t>
        </is>
      </c>
      <c r="C5" s="67" t="inlineStr">
        <is>
          <t>Revenue</t>
        </is>
      </c>
      <c r="D5" s="67" t="inlineStr">
        <is>
          <t>Total spent</t>
        </is>
      </c>
      <c r="E5" s="67" t="inlineStr">
        <is>
          <t>Net profit</t>
        </is>
      </c>
      <c r="F5" s="67" t="inlineStr">
        <is>
          <t>Avg margin</t>
        </is>
      </c>
      <c r="G5" s="67" t="inlineStr">
        <is>
          <t>ROI</t>
        </is>
      </c>
    </row>
    <row r="6" ht="30" customHeight="1" s="64">
      <c r="B6" s="68" t="n">
        <v>211</v>
      </c>
      <c r="C6" s="69" t="n">
        <v>12055</v>
      </c>
      <c r="D6" s="69" t="n">
        <v>9144</v>
      </c>
      <c r="E6" s="70" t="n">
        <v>2911</v>
      </c>
      <c r="F6" s="71" t="n">
        <v>0.225</v>
      </c>
      <c r="G6" s="71" t="n">
        <v>0.318</v>
      </c>
    </row>
    <row r="7" ht="7.5" customHeight="1" s="64">
      <c r="B7" s="72" t="n"/>
      <c r="C7" s="72" t="n"/>
      <c r="D7" s="72" t="n"/>
      <c r="E7" s="72" t="n"/>
      <c r="F7" s="72" t="n"/>
      <c r="G7" s="72" t="n"/>
      <c r="H7" s="72" t="n"/>
    </row>
    <row r="8" ht="7.5" customHeight="1" s="64"/>
    <row r="9" ht="21.75" customHeight="1" s="64">
      <c r="A9" s="73" t="n"/>
      <c r="B9" s="74" t="inlineStr">
        <is>
          <t>What I found</t>
        </is>
      </c>
      <c r="C9" s="75" t="n"/>
      <c r="D9" s="75" t="n"/>
      <c r="E9" s="75" t="n"/>
      <c r="F9" s="75" t="n"/>
      <c r="G9" s="75" t="n"/>
      <c r="H9" s="75" t="n"/>
    </row>
    <row r="10" ht="25.5" customHeight="1" s="64">
      <c r="B10" s="76" t="inlineStr">
        <is>
          <t>Made 211 sales across 4 months - all sealed product (ETBs, booster bundles, and tins). Focused on Prismatic Evolutions, Black Bolt/White Flare, and older sets with remaining demand.</t>
        </is>
      </c>
      <c r="C10" s="77" t="n"/>
      <c r="D10" s="77" t="n"/>
      <c r="E10" s="77" t="n"/>
      <c r="F10" s="77" t="n"/>
      <c r="G10" s="77" t="n"/>
      <c r="H10" s="77" t="n"/>
    </row>
    <row r="11" ht="25.5" customHeight="1" s="64">
      <c r="B11" s="76" t="inlineStr">
        <is>
          <t>ETBs were the most consistent product. Black Bolt and White Flare ETBs commanded the best margins right after release - bought early, sold at peak demand.</t>
        </is>
      </c>
      <c r="C11" s="77" t="n"/>
      <c r="D11" s="77" t="n"/>
      <c r="E11" s="77" t="n"/>
      <c r="F11" s="77" t="n"/>
      <c r="G11" s="77" t="n"/>
      <c r="H11" s="77" t="n"/>
    </row>
    <row r="12" ht="25.5" customHeight="1" s="64">
      <c r="B12" s="76" t="inlineStr">
        <is>
          <t>July was the biggest month. Black Bolt and White Flare dropped July 18 into heavy demand - both moved quickly at strong prices.</t>
        </is>
      </c>
      <c r="C12" s="77" t="n"/>
      <c r="D12" s="77" t="n"/>
      <c r="E12" s="77" t="n"/>
      <c r="F12" s="77" t="n"/>
      <c r="G12" s="77" t="n"/>
      <c r="H12" s="77" t="n"/>
    </row>
    <row r="13" ht="25.5" customHeight="1" s="64">
      <c r="B13" s="76" t="inlineStr">
        <is>
          <t>Lost money on 22 sales total, mostly in June and September when I overpaid or demand softened. Tightened sourcing rules after the first few.</t>
        </is>
      </c>
      <c r="C13" s="77" t="n"/>
      <c r="D13" s="77" t="n"/>
      <c r="E13" s="77" t="n"/>
      <c r="F13" s="77" t="n"/>
      <c r="G13" s="77" t="n"/>
      <c r="H13" s="77" t="n"/>
    </row>
    <row r="14" ht="25.5" customHeight="1" s="64">
      <c r="B14" s="76" t="inlineStr">
        <is>
          <t>ETBs drove the most profit ($1,312 total). Booster bundles had the most volume (96 sales) but lower margins per unit.</t>
        </is>
      </c>
      <c r="C14" s="77" t="n"/>
      <c r="D14" s="77" t="n"/>
      <c r="E14" s="77" t="n"/>
      <c r="F14" s="77" t="n"/>
      <c r="G14" s="77" t="n"/>
      <c r="H14" s="77" t="n"/>
    </row>
    <row r="16" ht="21.75" customHeight="1" s="64">
      <c r="A16" s="73" t="n"/>
      <c r="B16" s="74" t="inlineStr">
        <is>
          <t>What I learned</t>
        </is>
      </c>
      <c r="C16" s="75" t="n"/>
      <c r="D16" s="75" t="n"/>
      <c r="E16" s="75" t="n"/>
      <c r="F16" s="75" t="n"/>
      <c r="G16" s="75" t="n"/>
      <c r="H16" s="75" t="n"/>
    </row>
    <row r="17" ht="15.75" customHeight="1" s="64">
      <c r="B17" s="78" t="inlineStr">
        <is>
          <t>Area</t>
        </is>
      </c>
      <c r="C17" s="78" t="inlineStr">
        <is>
          <t>Notes</t>
        </is>
      </c>
    </row>
    <row r="18" ht="27.75" customHeight="1" s="64">
      <c r="B18" s="79" t="inlineStr">
        <is>
          <t>Pricing</t>
        </is>
      </c>
      <c r="C18" s="76" t="inlineStr">
        <is>
          <t>Checked TCGPlayer sold listings before setting prices. Staying a bit under market moved things faster without giving away too much margin.</t>
        </is>
      </c>
      <c r="D18" s="77" t="n"/>
      <c r="E18" s="77" t="n"/>
      <c r="F18" s="77" t="n"/>
      <c r="G18" s="77" t="n"/>
      <c r="H18" s="77" t="n"/>
    </row>
    <row r="19" ht="27.75" customHeight="1" s="64">
      <c r="B19" s="79" t="inlineStr">
        <is>
          <t>Sourcing</t>
        </is>
      </c>
      <c r="C19" s="76" t="inlineStr">
        <is>
          <t>Buying at retail barely works after fees. Profitable buys came from private sellers, bulk lots, and people looking to offload collections.</t>
        </is>
      </c>
      <c r="D19" s="77" t="n"/>
      <c r="E19" s="77" t="n"/>
      <c r="F19" s="77" t="n"/>
      <c r="G19" s="77" t="n"/>
      <c r="H19" s="77" t="n"/>
    </row>
    <row r="20" ht="27.75" customHeight="1" s="64">
      <c r="B20" s="79" t="inlineStr">
        <is>
          <t>Products</t>
        </is>
      </c>
      <c r="C20" s="76" t="inlineStr">
        <is>
          <t>ETBs drove the most total profit ($1,313). Booster bundles were highest volume (96 sales). Special products (tins and collections) had stronger margins than expected at ~30%.</t>
        </is>
      </c>
      <c r="D20" s="77" t="n"/>
      <c r="E20" s="77" t="n"/>
      <c r="F20" s="77" t="n"/>
      <c r="G20" s="77" t="n"/>
      <c r="H20" s="77" t="n"/>
    </row>
    <row r="21" ht="27.75" customHeight="1" s="64">
      <c r="B21" s="79" t="inlineStr">
        <is>
          <t>Tracking</t>
        </is>
      </c>
      <c r="C21" s="76" t="inlineStr">
        <is>
          <t>Keeping this log made it easy to see what was actually working vs. what just felt like it was.</t>
        </is>
      </c>
      <c r="D21" s="77" t="n"/>
      <c r="E21" s="77" t="n"/>
      <c r="F21" s="77" t="n"/>
      <c r="G21" s="77" t="n"/>
      <c r="H21" s="77" t="n"/>
    </row>
    <row r="22" ht="27.75" customHeight="1" s="64">
      <c r="B22" s="80" t="n"/>
      <c r="C22" s="76" t="n"/>
    </row>
    <row r="23" ht="15.75" customHeight="1" s="64">
      <c r="B23" s="81" t="inlineStr">
        <is>
          <t>Note: Some item names are approximate - reconstructed from eBay/TCGPlayer order history. Not every sale was logged in real time.</t>
        </is>
      </c>
    </row>
  </sheetData>
  <mergeCells count="14">
    <mergeCell ref="B14:H14"/>
    <mergeCell ref="C19:H19"/>
    <mergeCell ref="B9:H9"/>
    <mergeCell ref="B13:H13"/>
    <mergeCell ref="B12:H12"/>
    <mergeCell ref="B2:H2"/>
    <mergeCell ref="B16:H16"/>
    <mergeCell ref="C18:H18"/>
    <mergeCell ref="B10:H10"/>
    <mergeCell ref="C20:H20"/>
    <mergeCell ref="B11:H11"/>
    <mergeCell ref="B3:H3"/>
    <mergeCell ref="C21:H21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63" min="1" max="1"/>
    <col width="14" customWidth="1" style="63" min="2" max="2"/>
    <col width="34" customWidth="1" style="63" min="3" max="3"/>
    <col width="10" customWidth="1" style="63" min="4" max="4"/>
    <col width="20" customWidth="1" style="63" min="5" max="5"/>
    <col width="22" customWidth="1" style="63" min="6" max="6"/>
    <col width="12" customWidth="1" style="63" min="7" max="7"/>
    <col width="13" customWidth="1" style="63" min="8" max="8"/>
    <col width="11" customWidth="1" style="63" min="9" max="9"/>
    <col width="10" customWidth="1" style="63" min="10" max="10"/>
    <col width="9" customWidth="1" style="63" min="11" max="11"/>
  </cols>
  <sheetData>
    <row r="1" ht="21.75" customHeight="1" s="64">
      <c r="A1" s="82" t="inlineStr">
        <is>
          <t>#</t>
        </is>
      </c>
      <c r="B1" s="82" t="inlineStr">
        <is>
          <t>Date</t>
        </is>
      </c>
      <c r="C1" s="82" t="inlineStr">
        <is>
          <t>Item</t>
        </is>
      </c>
      <c r="D1" s="82" t="inlineStr">
        <is>
          <t>Type</t>
        </is>
      </c>
      <c r="E1" s="82" t="inlineStr">
        <is>
          <t>Category</t>
        </is>
      </c>
      <c r="F1" s="82" t="inlineStr">
        <is>
          <t>Platform</t>
        </is>
      </c>
      <c r="G1" s="82" t="inlineStr">
        <is>
          <t>Paid ($)</t>
        </is>
      </c>
      <c r="H1" s="82" t="inlineStr">
        <is>
          <t>Sold ($)</t>
        </is>
      </c>
      <c r="I1" s="82" t="inlineStr">
        <is>
          <t>Profit ($)</t>
        </is>
      </c>
      <c r="J1" s="82" t="inlineStr">
        <is>
          <t>Margin</t>
        </is>
      </c>
      <c r="K1" s="82" t="inlineStr">
        <is>
          <t>Result</t>
        </is>
      </c>
    </row>
    <row r="2" ht="15" customHeight="1" s="64">
      <c r="A2" s="83" t="inlineStr">
        <is>
          <t>TXN-001</t>
        </is>
      </c>
      <c r="B2" s="84" t="inlineStr">
        <is>
          <t>Jun 2, 2025</t>
        </is>
      </c>
      <c r="C2" s="84" t="inlineStr">
        <is>
          <t>Shrouded Fable Booster Bundle</t>
        </is>
      </c>
      <c r="D2" s="83" t="inlineStr">
        <is>
          <t>Sealed</t>
        </is>
      </c>
      <c r="E2" s="83" t="inlineStr">
        <is>
          <t>Booster Pack Bundle</t>
        </is>
      </c>
      <c r="F2" s="83" t="inlineStr">
        <is>
          <t>eBay</t>
        </is>
      </c>
      <c r="G2" s="85" t="n">
        <v>18.38</v>
      </c>
      <c r="H2" s="85" t="n">
        <v>30.22</v>
      </c>
      <c r="I2" s="86">
        <f>H2-G2</f>
        <v/>
      </c>
      <c r="J2" s="87">
        <f>I2/H2</f>
        <v/>
      </c>
      <c r="K2" s="88" t="inlineStr">
        <is>
          <t>Profit</t>
        </is>
      </c>
    </row>
    <row r="3" ht="15" customHeight="1" s="64">
      <c r="A3" s="89" t="inlineStr">
        <is>
          <t>TXN-002</t>
        </is>
      </c>
      <c r="B3" s="90" t="inlineStr">
        <is>
          <t>Jun 2, 2025</t>
        </is>
      </c>
      <c r="C3" s="90" t="inlineStr">
        <is>
          <t>Scarlet &amp; Violet 151 Booster Bundle</t>
        </is>
      </c>
      <c r="D3" s="89" t="inlineStr">
        <is>
          <t>Sealed</t>
        </is>
      </c>
      <c r="E3" s="89" t="inlineStr">
        <is>
          <t>Booster Pack Bundle</t>
        </is>
      </c>
      <c r="F3" s="89" t="inlineStr">
        <is>
          <t>Facebook Marketplace</t>
        </is>
      </c>
      <c r="G3" s="91" t="n">
        <v>37.5</v>
      </c>
      <c r="H3" s="91" t="n">
        <v>50.47</v>
      </c>
      <c r="I3" s="92">
        <f>H3-G3</f>
        <v/>
      </c>
      <c r="J3" s="93">
        <f>I3/H3</f>
        <v/>
      </c>
      <c r="K3" s="94" t="inlineStr">
        <is>
          <t>Profit</t>
        </is>
      </c>
    </row>
    <row r="4" ht="15" customHeight="1" s="64">
      <c r="A4" s="95" t="inlineStr">
        <is>
          <t>TXN-003</t>
        </is>
      </c>
      <c r="B4" s="96" t="inlineStr">
        <is>
          <t>Jun 2, 2025</t>
        </is>
      </c>
      <c r="C4" s="96" t="inlineStr">
        <is>
          <t>Destined Rivals Elite Trainer Box</t>
        </is>
      </c>
      <c r="D4" s="95" t="inlineStr">
        <is>
          <t>Sealed</t>
        </is>
      </c>
      <c r="E4" s="95" t="inlineStr">
        <is>
          <t>ETB</t>
        </is>
      </c>
      <c r="F4" s="95" t="inlineStr">
        <is>
          <t>eBay</t>
        </is>
      </c>
      <c r="G4" s="97" t="n">
        <v>58.57</v>
      </c>
      <c r="H4" s="97" t="n">
        <v>51.63</v>
      </c>
      <c r="I4" s="98">
        <f>H4-G4</f>
        <v/>
      </c>
      <c r="J4" s="99">
        <f>I4/H4</f>
        <v/>
      </c>
      <c r="K4" s="100" t="inlineStr">
        <is>
          <t>Loss</t>
        </is>
      </c>
    </row>
    <row r="5" ht="15" customHeight="1" s="64">
      <c r="A5" s="89" t="inlineStr">
        <is>
          <t>TXN-004</t>
        </is>
      </c>
      <c r="B5" s="90" t="inlineStr">
        <is>
          <t>Jun 3, 2025</t>
        </is>
      </c>
      <c r="C5" s="90" t="inlineStr">
        <is>
          <t>Prismatic Evolutions Booster Bundle</t>
        </is>
      </c>
      <c r="D5" s="89" t="inlineStr">
        <is>
          <t>Sealed</t>
        </is>
      </c>
      <c r="E5" s="89" t="inlineStr">
        <is>
          <t>Booster Pack Bundle</t>
        </is>
      </c>
      <c r="F5" s="89" t="inlineStr">
        <is>
          <t>eBay</t>
        </is>
      </c>
      <c r="G5" s="91" t="n">
        <v>59.76</v>
      </c>
      <c r="H5" s="91" t="n">
        <v>66.84999999999999</v>
      </c>
      <c r="I5" s="92">
        <f>H5-G5</f>
        <v/>
      </c>
      <c r="J5" s="93">
        <f>I5/H5</f>
        <v/>
      </c>
      <c r="K5" s="94" t="inlineStr">
        <is>
          <t>Profit</t>
        </is>
      </c>
    </row>
    <row r="6" ht="15" customHeight="1" s="64">
      <c r="A6" s="83" t="inlineStr">
        <is>
          <t>TXN-005</t>
        </is>
      </c>
      <c r="B6" s="84" t="inlineStr">
        <is>
          <t>Jun 4, 2025</t>
        </is>
      </c>
      <c r="C6" s="84" t="inlineStr">
        <is>
          <t>Scarlet &amp; Violet 151 Booster Bundle</t>
        </is>
      </c>
      <c r="D6" s="83" t="inlineStr">
        <is>
          <t>Sealed</t>
        </is>
      </c>
      <c r="E6" s="83" t="inlineStr">
        <is>
          <t>Booster Pack Bundle</t>
        </is>
      </c>
      <c r="F6" s="83" t="inlineStr">
        <is>
          <t>eBay</t>
        </is>
      </c>
      <c r="G6" s="85" t="n">
        <v>36.38</v>
      </c>
      <c r="H6" s="85" t="n">
        <v>47.87</v>
      </c>
      <c r="I6" s="86">
        <f>H6-G6</f>
        <v/>
      </c>
      <c r="J6" s="87">
        <f>I6/H6</f>
        <v/>
      </c>
      <c r="K6" s="88" t="inlineStr">
        <is>
          <t>Profit</t>
        </is>
      </c>
    </row>
    <row r="7" ht="15" customHeight="1" s="64">
      <c r="A7" s="89" t="inlineStr">
        <is>
          <t>TXN-006</t>
        </is>
      </c>
      <c r="B7" s="90" t="inlineStr">
        <is>
          <t>Jun 5, 2025</t>
        </is>
      </c>
      <c r="C7" s="90" t="inlineStr">
        <is>
          <t>Blooming Waters Collection</t>
        </is>
      </c>
      <c r="D7" s="89" t="inlineStr">
        <is>
          <t>Sealed</t>
        </is>
      </c>
      <c r="E7" s="89" t="inlineStr">
        <is>
          <t>Special Products</t>
        </is>
      </c>
      <c r="F7" s="89" t="inlineStr">
        <is>
          <t>Facebook Marketplace</t>
        </is>
      </c>
      <c r="G7" s="91" t="n">
        <v>31.01</v>
      </c>
      <c r="H7" s="91" t="n">
        <v>37.85</v>
      </c>
      <c r="I7" s="92">
        <f>H7-G7</f>
        <v/>
      </c>
      <c r="J7" s="93">
        <f>I7/H7</f>
        <v/>
      </c>
      <c r="K7" s="94" t="inlineStr">
        <is>
          <t>Profit</t>
        </is>
      </c>
    </row>
    <row r="8" ht="15" customHeight="1" s="64">
      <c r="A8" s="83" t="inlineStr">
        <is>
          <t>TXN-007</t>
        </is>
      </c>
      <c r="B8" s="84" t="inlineStr">
        <is>
          <t>Jun 5, 2025</t>
        </is>
      </c>
      <c r="C8" s="84" t="inlineStr">
        <is>
          <t>Prismatic Evolutions Elite Trainer Box</t>
        </is>
      </c>
      <c r="D8" s="83" t="inlineStr">
        <is>
          <t>Sealed</t>
        </is>
      </c>
      <c r="E8" s="83" t="inlineStr">
        <is>
          <t>ETB</t>
        </is>
      </c>
      <c r="F8" s="83" t="inlineStr">
        <is>
          <t>TCGPlayer</t>
        </is>
      </c>
      <c r="G8" s="85" t="n">
        <v>60.6</v>
      </c>
      <c r="H8" s="85" t="n">
        <v>89.09</v>
      </c>
      <c r="I8" s="86">
        <f>H8-G8</f>
        <v/>
      </c>
      <c r="J8" s="87">
        <f>I8/H8</f>
        <v/>
      </c>
      <c r="K8" s="88" t="inlineStr">
        <is>
          <t>Profit</t>
        </is>
      </c>
    </row>
    <row r="9" ht="15" customHeight="1" s="64">
      <c r="A9" s="89" t="inlineStr">
        <is>
          <t>TXN-008</t>
        </is>
      </c>
      <c r="B9" s="90" t="inlineStr">
        <is>
          <t>Jun 7, 2025</t>
        </is>
      </c>
      <c r="C9" s="90" t="inlineStr">
        <is>
          <t>Prismatic Evolutions Special Collection</t>
        </is>
      </c>
      <c r="D9" s="89" t="inlineStr">
        <is>
          <t>Sealed</t>
        </is>
      </c>
      <c r="E9" s="89" t="inlineStr">
        <is>
          <t>Special Products</t>
        </is>
      </c>
      <c r="F9" s="89" t="inlineStr">
        <is>
          <t>TCGPlayer</t>
        </is>
      </c>
      <c r="G9" s="91" t="n">
        <v>74.3</v>
      </c>
      <c r="H9" s="91" t="n">
        <v>99.98999999999999</v>
      </c>
      <c r="I9" s="92">
        <f>H9-G9</f>
        <v/>
      </c>
      <c r="J9" s="93">
        <f>I9/H9</f>
        <v/>
      </c>
      <c r="K9" s="94" t="inlineStr">
        <is>
          <t>Profit</t>
        </is>
      </c>
    </row>
    <row r="10" ht="15" customHeight="1" s="64">
      <c r="A10" s="83" t="inlineStr">
        <is>
          <t>TXN-009</t>
        </is>
      </c>
      <c r="B10" s="84" t="inlineStr">
        <is>
          <t>Jun 7, 2025</t>
        </is>
      </c>
      <c r="C10" s="84" t="inlineStr">
        <is>
          <t>Scarlet &amp; Violet 151 Booster Bundle</t>
        </is>
      </c>
      <c r="D10" s="83" t="inlineStr">
        <is>
          <t>Sealed</t>
        </is>
      </c>
      <c r="E10" s="83" t="inlineStr">
        <is>
          <t>Booster Pack Bundle</t>
        </is>
      </c>
      <c r="F10" s="83" t="inlineStr">
        <is>
          <t>Facebook Marketplace</t>
        </is>
      </c>
      <c r="G10" s="85" t="n">
        <v>34.59</v>
      </c>
      <c r="H10" s="85" t="n">
        <v>55.1</v>
      </c>
      <c r="I10" s="86">
        <f>H10-G10</f>
        <v/>
      </c>
      <c r="J10" s="87">
        <f>I10/H10</f>
        <v/>
      </c>
      <c r="K10" s="88" t="inlineStr">
        <is>
          <t>Profit</t>
        </is>
      </c>
    </row>
    <row r="11" ht="15" customHeight="1" s="64">
      <c r="A11" s="89" t="inlineStr">
        <is>
          <t>TXN-010</t>
        </is>
      </c>
      <c r="B11" s="90" t="inlineStr">
        <is>
          <t>Jun 7, 2025</t>
        </is>
      </c>
      <c r="C11" s="90" t="inlineStr">
        <is>
          <t>Prismatic Evolutions Booster Bundle</t>
        </is>
      </c>
      <c r="D11" s="89" t="inlineStr">
        <is>
          <t>Sealed</t>
        </is>
      </c>
      <c r="E11" s="89" t="inlineStr">
        <is>
          <t>Booster Pack Bundle</t>
        </is>
      </c>
      <c r="F11" s="89" t="inlineStr">
        <is>
          <t>eBay</t>
        </is>
      </c>
      <c r="G11" s="91" t="n">
        <v>55.03</v>
      </c>
      <c r="H11" s="91" t="n">
        <v>62.85</v>
      </c>
      <c r="I11" s="92">
        <f>H11-G11</f>
        <v/>
      </c>
      <c r="J11" s="93">
        <f>I11/H11</f>
        <v/>
      </c>
      <c r="K11" s="94" t="inlineStr">
        <is>
          <t>Profit</t>
        </is>
      </c>
    </row>
    <row r="12" ht="15" customHeight="1" s="64">
      <c r="A12" s="83" t="inlineStr">
        <is>
          <t>TXN-011</t>
        </is>
      </c>
      <c r="B12" s="84" t="inlineStr">
        <is>
          <t>Jun 7, 2025</t>
        </is>
      </c>
      <c r="C12" s="84" t="inlineStr">
        <is>
          <t>Destined Rivals Elite Trainer Box</t>
        </is>
      </c>
      <c r="D12" s="83" t="inlineStr">
        <is>
          <t>Sealed</t>
        </is>
      </c>
      <c r="E12" s="83" t="inlineStr">
        <is>
          <t>ETB</t>
        </is>
      </c>
      <c r="F12" s="83" t="inlineStr">
        <is>
          <t>eBay</t>
        </is>
      </c>
      <c r="G12" s="85" t="n">
        <v>76.53</v>
      </c>
      <c r="H12" s="85" t="n">
        <v>97.63</v>
      </c>
      <c r="I12" s="86">
        <f>H12-G12</f>
        <v/>
      </c>
      <c r="J12" s="87">
        <f>I12/H12</f>
        <v/>
      </c>
      <c r="K12" s="88" t="inlineStr">
        <is>
          <t>Profit</t>
        </is>
      </c>
    </row>
    <row r="13" ht="15" customHeight="1" s="64">
      <c r="A13" s="89" t="inlineStr">
        <is>
          <t>TXN-012</t>
        </is>
      </c>
      <c r="B13" s="90" t="inlineStr">
        <is>
          <t>Jun 8, 2025</t>
        </is>
      </c>
      <c r="C13" s="90" t="inlineStr">
        <is>
          <t>Blooming Waters Collection</t>
        </is>
      </c>
      <c r="D13" s="89" t="inlineStr">
        <is>
          <t>Sealed</t>
        </is>
      </c>
      <c r="E13" s="89" t="inlineStr">
        <is>
          <t>Special Products</t>
        </is>
      </c>
      <c r="F13" s="89" t="inlineStr">
        <is>
          <t>eBay</t>
        </is>
      </c>
      <c r="G13" s="91" t="n">
        <v>28.48</v>
      </c>
      <c r="H13" s="91" t="n">
        <v>40.54</v>
      </c>
      <c r="I13" s="92">
        <f>H13-G13</f>
        <v/>
      </c>
      <c r="J13" s="93">
        <f>I13/H13</f>
        <v/>
      </c>
      <c r="K13" s="94" t="inlineStr">
        <is>
          <t>Profit</t>
        </is>
      </c>
    </row>
    <row r="14" ht="15" customHeight="1" s="64">
      <c r="A14" s="83" t="inlineStr">
        <is>
          <t>TXN-013</t>
        </is>
      </c>
      <c r="B14" s="84" t="inlineStr">
        <is>
          <t>Jun 8, 2025</t>
        </is>
      </c>
      <c r="C14" s="84" t="inlineStr">
        <is>
          <t>Blooming Waters Collection</t>
        </is>
      </c>
      <c r="D14" s="83" t="inlineStr">
        <is>
          <t>Sealed</t>
        </is>
      </c>
      <c r="E14" s="83" t="inlineStr">
        <is>
          <t>Special Products</t>
        </is>
      </c>
      <c r="F14" s="83" t="inlineStr">
        <is>
          <t>TCGPlayer</t>
        </is>
      </c>
      <c r="G14" s="85" t="n">
        <v>27.24</v>
      </c>
      <c r="H14" s="85" t="n">
        <v>37.58</v>
      </c>
      <c r="I14" s="86">
        <f>H14-G14</f>
        <v/>
      </c>
      <c r="J14" s="87">
        <f>I14/H14</f>
        <v/>
      </c>
      <c r="K14" s="88" t="inlineStr">
        <is>
          <t>Profit</t>
        </is>
      </c>
    </row>
    <row r="15" ht="15" customHeight="1" s="64">
      <c r="A15" s="89" t="inlineStr">
        <is>
          <t>TXN-014</t>
        </is>
      </c>
      <c r="B15" s="90" t="inlineStr">
        <is>
          <t>Jun 8, 2025</t>
        </is>
      </c>
      <c r="C15" s="90" t="inlineStr">
        <is>
          <t>Surging Sparks Booster Bundle</t>
        </is>
      </c>
      <c r="D15" s="89" t="inlineStr">
        <is>
          <t>Sealed</t>
        </is>
      </c>
      <c r="E15" s="89" t="inlineStr">
        <is>
          <t>Booster Pack Bundle</t>
        </is>
      </c>
      <c r="F15" s="89" t="inlineStr">
        <is>
          <t>eBay</t>
        </is>
      </c>
      <c r="G15" s="91" t="n">
        <v>23.41</v>
      </c>
      <c r="H15" s="91" t="n">
        <v>40.06</v>
      </c>
      <c r="I15" s="92">
        <f>H15-G15</f>
        <v/>
      </c>
      <c r="J15" s="93">
        <f>I15/H15</f>
        <v/>
      </c>
      <c r="K15" s="94" t="inlineStr">
        <is>
          <t>Profit</t>
        </is>
      </c>
    </row>
    <row r="16" ht="15" customHeight="1" s="64">
      <c r="A16" s="83" t="inlineStr">
        <is>
          <t>TXN-015</t>
        </is>
      </c>
      <c r="B16" s="84" t="inlineStr">
        <is>
          <t>Jun 8, 2025</t>
        </is>
      </c>
      <c r="C16" s="84" t="inlineStr">
        <is>
          <t>Blooming Waters Collection</t>
        </is>
      </c>
      <c r="D16" s="83" t="inlineStr">
        <is>
          <t>Sealed</t>
        </is>
      </c>
      <c r="E16" s="83" t="inlineStr">
        <is>
          <t>Special Products</t>
        </is>
      </c>
      <c r="F16" s="83" t="inlineStr">
        <is>
          <t>eBay</t>
        </is>
      </c>
      <c r="G16" s="85" t="n">
        <v>22.76</v>
      </c>
      <c r="H16" s="85" t="n">
        <v>36.99</v>
      </c>
      <c r="I16" s="86">
        <f>H16-G16</f>
        <v/>
      </c>
      <c r="J16" s="87">
        <f>I16/H16</f>
        <v/>
      </c>
      <c r="K16" s="88" t="inlineStr">
        <is>
          <t>Profit</t>
        </is>
      </c>
    </row>
    <row r="17" ht="15" customHeight="1" s="64">
      <c r="A17" s="89" t="inlineStr">
        <is>
          <t>TXN-016</t>
        </is>
      </c>
      <c r="B17" s="90" t="inlineStr">
        <is>
          <t>Jun 8, 2025</t>
        </is>
      </c>
      <c r="C17" s="90" t="inlineStr">
        <is>
          <t>Prismatic Evolutions Special Collection</t>
        </is>
      </c>
      <c r="D17" s="89" t="inlineStr">
        <is>
          <t>Sealed</t>
        </is>
      </c>
      <c r="E17" s="89" t="inlineStr">
        <is>
          <t>Special Products</t>
        </is>
      </c>
      <c r="F17" s="89" t="inlineStr">
        <is>
          <t>TCGPlayer</t>
        </is>
      </c>
      <c r="G17" s="91" t="n">
        <v>59.65</v>
      </c>
      <c r="H17" s="91" t="n">
        <v>118.43</v>
      </c>
      <c r="I17" s="92">
        <f>H17-G17</f>
        <v/>
      </c>
      <c r="J17" s="93">
        <f>I17/H17</f>
        <v/>
      </c>
      <c r="K17" s="94" t="inlineStr">
        <is>
          <t>Profit</t>
        </is>
      </c>
    </row>
    <row r="18" ht="15" customHeight="1" s="64">
      <c r="A18" s="83" t="inlineStr">
        <is>
          <t>TXN-017</t>
        </is>
      </c>
      <c r="B18" s="84" t="inlineStr">
        <is>
          <t>Jun 9, 2025</t>
        </is>
      </c>
      <c r="C18" s="84" t="inlineStr">
        <is>
          <t>Blooming Waters Collection</t>
        </is>
      </c>
      <c r="D18" s="83" t="inlineStr">
        <is>
          <t>Sealed</t>
        </is>
      </c>
      <c r="E18" s="83" t="inlineStr">
        <is>
          <t>Special Products</t>
        </is>
      </c>
      <c r="F18" s="83" t="inlineStr">
        <is>
          <t>eBay</t>
        </is>
      </c>
      <c r="G18" s="85" t="n">
        <v>25.24</v>
      </c>
      <c r="H18" s="85" t="n">
        <v>38.92</v>
      </c>
      <c r="I18" s="86">
        <f>H18-G18</f>
        <v/>
      </c>
      <c r="J18" s="87">
        <f>I18/H18</f>
        <v/>
      </c>
      <c r="K18" s="88" t="inlineStr">
        <is>
          <t>Profit</t>
        </is>
      </c>
    </row>
    <row r="19" ht="15" customHeight="1" s="64">
      <c r="A19" s="89" t="inlineStr">
        <is>
          <t>TXN-018</t>
        </is>
      </c>
      <c r="B19" s="90" t="inlineStr">
        <is>
          <t>Jun 9, 2025</t>
        </is>
      </c>
      <c r="C19" s="90" t="inlineStr">
        <is>
          <t>Blooming Waters Collection</t>
        </is>
      </c>
      <c r="D19" s="89" t="inlineStr">
        <is>
          <t>Sealed</t>
        </is>
      </c>
      <c r="E19" s="89" t="inlineStr">
        <is>
          <t>Special Products</t>
        </is>
      </c>
      <c r="F19" s="89" t="inlineStr">
        <is>
          <t>eBay</t>
        </is>
      </c>
      <c r="G19" s="91" t="n">
        <v>30.62</v>
      </c>
      <c r="H19" s="91" t="n">
        <v>34.12</v>
      </c>
      <c r="I19" s="92">
        <f>H19-G19</f>
        <v/>
      </c>
      <c r="J19" s="93">
        <f>I19/H19</f>
        <v/>
      </c>
      <c r="K19" s="94" t="inlineStr">
        <is>
          <t>Profit</t>
        </is>
      </c>
    </row>
    <row r="20" ht="15" customHeight="1" s="64">
      <c r="A20" s="83" t="inlineStr">
        <is>
          <t>TXN-019</t>
        </is>
      </c>
      <c r="B20" s="84" t="inlineStr">
        <is>
          <t>Jun 10, 2025</t>
        </is>
      </c>
      <c r="C20" s="84" t="inlineStr">
        <is>
          <t>Shrouded Fable Booster Bundle</t>
        </is>
      </c>
      <c r="D20" s="83" t="inlineStr">
        <is>
          <t>Sealed</t>
        </is>
      </c>
      <c r="E20" s="83" t="inlineStr">
        <is>
          <t>Booster Pack Bundle</t>
        </is>
      </c>
      <c r="F20" s="83" t="inlineStr">
        <is>
          <t>TCGPlayer</t>
        </is>
      </c>
      <c r="G20" s="85" t="n">
        <v>20.95</v>
      </c>
      <c r="H20" s="85" t="n">
        <v>35.33</v>
      </c>
      <c r="I20" s="86">
        <f>H20-G20</f>
        <v/>
      </c>
      <c r="J20" s="87">
        <f>I20/H20</f>
        <v/>
      </c>
      <c r="K20" s="88" t="inlineStr">
        <is>
          <t>Profit</t>
        </is>
      </c>
    </row>
    <row r="21" ht="15" customHeight="1" s="64">
      <c r="A21" s="89" t="inlineStr">
        <is>
          <t>TXN-020</t>
        </is>
      </c>
      <c r="B21" s="90" t="inlineStr">
        <is>
          <t>Jun 10, 2025</t>
        </is>
      </c>
      <c r="C21" s="90" t="inlineStr">
        <is>
          <t>Blooming Waters Collection</t>
        </is>
      </c>
      <c r="D21" s="89" t="inlineStr">
        <is>
          <t>Sealed</t>
        </is>
      </c>
      <c r="E21" s="89" t="inlineStr">
        <is>
          <t>Special Products</t>
        </is>
      </c>
      <c r="F21" s="89" t="inlineStr">
        <is>
          <t>eBay</t>
        </is>
      </c>
      <c r="G21" s="91" t="n">
        <v>23.92</v>
      </c>
      <c r="H21" s="91" t="n">
        <v>34.64</v>
      </c>
      <c r="I21" s="92">
        <f>H21-G21</f>
        <v/>
      </c>
      <c r="J21" s="93">
        <f>I21/H21</f>
        <v/>
      </c>
      <c r="K21" s="94" t="inlineStr">
        <is>
          <t>Profit</t>
        </is>
      </c>
    </row>
    <row r="22" ht="15" customHeight="1" s="64">
      <c r="A22" s="83" t="inlineStr">
        <is>
          <t>TXN-021</t>
        </is>
      </c>
      <c r="B22" s="84" t="inlineStr">
        <is>
          <t>Jun 11, 2025</t>
        </is>
      </c>
      <c r="C22" s="84" t="inlineStr">
        <is>
          <t>Prismatic Evolutions Special Collection</t>
        </is>
      </c>
      <c r="D22" s="83" t="inlineStr">
        <is>
          <t>Sealed</t>
        </is>
      </c>
      <c r="E22" s="83" t="inlineStr">
        <is>
          <t>Special Products</t>
        </is>
      </c>
      <c r="F22" s="83" t="inlineStr">
        <is>
          <t>eBay</t>
        </is>
      </c>
      <c r="G22" s="85" t="n">
        <v>67.08</v>
      </c>
      <c r="H22" s="85" t="n">
        <v>75.34</v>
      </c>
      <c r="I22" s="86">
        <f>H22-G22</f>
        <v/>
      </c>
      <c r="J22" s="87">
        <f>I22/H22</f>
        <v/>
      </c>
      <c r="K22" s="88" t="inlineStr">
        <is>
          <t>Profit</t>
        </is>
      </c>
    </row>
    <row r="23" ht="15" customHeight="1" s="64">
      <c r="A23" s="89" t="inlineStr">
        <is>
          <t>TXN-022</t>
        </is>
      </c>
      <c r="B23" s="90" t="inlineStr">
        <is>
          <t>Jun 12, 2025</t>
        </is>
      </c>
      <c r="C23" s="90" t="inlineStr">
        <is>
          <t>Destined Rivals Elite Trainer Box</t>
        </is>
      </c>
      <c r="D23" s="89" t="inlineStr">
        <is>
          <t>Sealed</t>
        </is>
      </c>
      <c r="E23" s="89" t="inlineStr">
        <is>
          <t>ETB</t>
        </is>
      </c>
      <c r="F23" s="89" t="inlineStr">
        <is>
          <t>eBay</t>
        </is>
      </c>
      <c r="G23" s="91" t="n">
        <v>60.22</v>
      </c>
      <c r="H23" s="91" t="n">
        <v>80.92</v>
      </c>
      <c r="I23" s="92">
        <f>H23-G23</f>
        <v/>
      </c>
      <c r="J23" s="93">
        <f>I23/H23</f>
        <v/>
      </c>
      <c r="K23" s="94" t="inlineStr">
        <is>
          <t>Profit</t>
        </is>
      </c>
    </row>
    <row r="24" ht="15" customHeight="1" s="64">
      <c r="A24" s="83" t="inlineStr">
        <is>
          <t>TXN-023</t>
        </is>
      </c>
      <c r="B24" s="84" t="inlineStr">
        <is>
          <t>Jun 13, 2025</t>
        </is>
      </c>
      <c r="C24" s="84" t="inlineStr">
        <is>
          <t>Blooming Waters Collection</t>
        </is>
      </c>
      <c r="D24" s="83" t="inlineStr">
        <is>
          <t>Sealed</t>
        </is>
      </c>
      <c r="E24" s="83" t="inlineStr">
        <is>
          <t>Special Products</t>
        </is>
      </c>
      <c r="F24" s="83" t="inlineStr">
        <is>
          <t>Facebook Marketplace</t>
        </is>
      </c>
      <c r="G24" s="85" t="n">
        <v>31.17</v>
      </c>
      <c r="H24" s="85" t="n">
        <v>44.89</v>
      </c>
      <c r="I24" s="86">
        <f>H24-G24</f>
        <v/>
      </c>
      <c r="J24" s="87">
        <f>I24/H24</f>
        <v/>
      </c>
      <c r="K24" s="88" t="inlineStr">
        <is>
          <t>Profit</t>
        </is>
      </c>
    </row>
    <row r="25" ht="15" customHeight="1" s="64">
      <c r="A25" s="95" t="inlineStr">
        <is>
          <t>TXN-024</t>
        </is>
      </c>
      <c r="B25" s="96" t="inlineStr">
        <is>
          <t>Jun 13, 2025</t>
        </is>
      </c>
      <c r="C25" s="96" t="inlineStr">
        <is>
          <t>Scarlet &amp; Violet 151 Booster Bundle</t>
        </is>
      </c>
      <c r="D25" s="95" t="inlineStr">
        <is>
          <t>Sealed</t>
        </is>
      </c>
      <c r="E25" s="95" t="inlineStr">
        <is>
          <t>Booster Pack Bundle</t>
        </is>
      </c>
      <c r="F25" s="95" t="inlineStr">
        <is>
          <t>TCGPlayer</t>
        </is>
      </c>
      <c r="G25" s="97" t="n">
        <v>39.3</v>
      </c>
      <c r="H25" s="97" t="n">
        <v>37.83</v>
      </c>
      <c r="I25" s="98">
        <f>H25-G25</f>
        <v/>
      </c>
      <c r="J25" s="99">
        <f>I25/H25</f>
        <v/>
      </c>
      <c r="K25" s="100" t="inlineStr">
        <is>
          <t>Loss</t>
        </is>
      </c>
    </row>
    <row r="26" ht="15" customHeight="1" s="64">
      <c r="A26" s="95" t="inlineStr">
        <is>
          <t>TXN-025</t>
        </is>
      </c>
      <c r="B26" s="96" t="inlineStr">
        <is>
          <t>Jun 14, 2025</t>
        </is>
      </c>
      <c r="C26" s="96" t="inlineStr">
        <is>
          <t>Prismatic Evolutions Special Collection</t>
        </is>
      </c>
      <c r="D26" s="95" t="inlineStr">
        <is>
          <t>Sealed</t>
        </is>
      </c>
      <c r="E26" s="95" t="inlineStr">
        <is>
          <t>Special Products</t>
        </is>
      </c>
      <c r="F26" s="95" t="inlineStr">
        <is>
          <t>TCGPlayer</t>
        </is>
      </c>
      <c r="G26" s="97" t="n">
        <v>79.05</v>
      </c>
      <c r="H26" s="97" t="n">
        <v>70.06999999999999</v>
      </c>
      <c r="I26" s="98">
        <f>H26-G26</f>
        <v/>
      </c>
      <c r="J26" s="99">
        <f>I26/H26</f>
        <v/>
      </c>
      <c r="K26" s="100" t="inlineStr">
        <is>
          <t>Loss</t>
        </is>
      </c>
    </row>
    <row r="27" ht="15" customHeight="1" s="64">
      <c r="A27" s="89" t="inlineStr">
        <is>
          <t>TXN-026</t>
        </is>
      </c>
      <c r="B27" s="90" t="inlineStr">
        <is>
          <t>Jun 14, 2025</t>
        </is>
      </c>
      <c r="C27" s="90" t="inlineStr">
        <is>
          <t>Crown Zenith Tin</t>
        </is>
      </c>
      <c r="D27" s="89" t="inlineStr">
        <is>
          <t>Sealed</t>
        </is>
      </c>
      <c r="E27" s="89" t="inlineStr">
        <is>
          <t>Special Products</t>
        </is>
      </c>
      <c r="F27" s="89" t="inlineStr">
        <is>
          <t>eBay</t>
        </is>
      </c>
      <c r="G27" s="91" t="n">
        <v>20.62</v>
      </c>
      <c r="H27" s="91" t="n">
        <v>28.85</v>
      </c>
      <c r="I27" s="92">
        <f>H27-G27</f>
        <v/>
      </c>
      <c r="J27" s="93">
        <f>I27/H27</f>
        <v/>
      </c>
      <c r="K27" s="94" t="inlineStr">
        <is>
          <t>Profit</t>
        </is>
      </c>
    </row>
    <row r="28" ht="15" customHeight="1" s="64">
      <c r="A28" s="83" t="inlineStr">
        <is>
          <t>TXN-027</t>
        </is>
      </c>
      <c r="B28" s="84" t="inlineStr">
        <is>
          <t>Jun 14, 2025</t>
        </is>
      </c>
      <c r="C28" s="84" t="inlineStr">
        <is>
          <t>Crown Zenith Tin</t>
        </is>
      </c>
      <c r="D28" s="83" t="inlineStr">
        <is>
          <t>Sealed</t>
        </is>
      </c>
      <c r="E28" s="83" t="inlineStr">
        <is>
          <t>Special Products</t>
        </is>
      </c>
      <c r="F28" s="83" t="inlineStr">
        <is>
          <t>eBay</t>
        </is>
      </c>
      <c r="G28" s="85" t="n">
        <v>20.88</v>
      </c>
      <c r="H28" s="85" t="n">
        <v>29.42</v>
      </c>
      <c r="I28" s="86">
        <f>H28-G28</f>
        <v/>
      </c>
      <c r="J28" s="87">
        <f>I28/H28</f>
        <v/>
      </c>
      <c r="K28" s="88" t="inlineStr">
        <is>
          <t>Profit</t>
        </is>
      </c>
    </row>
    <row r="29" ht="15" customHeight="1" s="64">
      <c r="A29" s="95" t="inlineStr">
        <is>
          <t>TXN-028</t>
        </is>
      </c>
      <c r="B29" s="96" t="inlineStr">
        <is>
          <t>Jun 15, 2025</t>
        </is>
      </c>
      <c r="C29" s="96" t="inlineStr">
        <is>
          <t>Prismatic Evolutions Booster Bundle</t>
        </is>
      </c>
      <c r="D29" s="95" t="inlineStr">
        <is>
          <t>Sealed</t>
        </is>
      </c>
      <c r="E29" s="95" t="inlineStr">
        <is>
          <t>Booster Pack Bundle</t>
        </is>
      </c>
      <c r="F29" s="95" t="inlineStr">
        <is>
          <t>Facebook Marketplace</t>
        </is>
      </c>
      <c r="G29" s="97" t="n">
        <v>58.79</v>
      </c>
      <c r="H29" s="97" t="n">
        <v>53.23</v>
      </c>
      <c r="I29" s="98">
        <f>H29-G29</f>
        <v/>
      </c>
      <c r="J29" s="99">
        <f>I29/H29</f>
        <v/>
      </c>
      <c r="K29" s="100" t="inlineStr">
        <is>
          <t>Loss</t>
        </is>
      </c>
    </row>
    <row r="30" ht="15" customHeight="1" s="64">
      <c r="A30" s="83" t="inlineStr">
        <is>
          <t>TXN-029</t>
        </is>
      </c>
      <c r="B30" s="84" t="inlineStr">
        <is>
          <t>Jun 16, 2025</t>
        </is>
      </c>
      <c r="C30" s="84" t="inlineStr">
        <is>
          <t>Surging Sparks Booster Bundle</t>
        </is>
      </c>
      <c r="D30" s="83" t="inlineStr">
        <is>
          <t>Sealed</t>
        </is>
      </c>
      <c r="E30" s="83" t="inlineStr">
        <is>
          <t>Booster Pack Bundle</t>
        </is>
      </c>
      <c r="F30" s="83" t="inlineStr">
        <is>
          <t>Facebook Marketplace</t>
        </is>
      </c>
      <c r="G30" s="85" t="n">
        <v>22.12</v>
      </c>
      <c r="H30" s="85" t="n">
        <v>41.25</v>
      </c>
      <c r="I30" s="86">
        <f>H30-G30</f>
        <v/>
      </c>
      <c r="J30" s="87">
        <f>I30/H30</f>
        <v/>
      </c>
      <c r="K30" s="88" t="inlineStr">
        <is>
          <t>Profit</t>
        </is>
      </c>
    </row>
    <row r="31" ht="15" customHeight="1" s="64">
      <c r="A31" s="89" t="inlineStr">
        <is>
          <t>TXN-030</t>
        </is>
      </c>
      <c r="B31" s="90" t="inlineStr">
        <is>
          <t>Jun 16, 2025</t>
        </is>
      </c>
      <c r="C31" s="90" t="inlineStr">
        <is>
          <t>Prismatic Evolutions Booster Bundle</t>
        </is>
      </c>
      <c r="D31" s="89" t="inlineStr">
        <is>
          <t>Sealed</t>
        </is>
      </c>
      <c r="E31" s="89" t="inlineStr">
        <is>
          <t>Booster Pack Bundle</t>
        </is>
      </c>
      <c r="F31" s="89" t="inlineStr">
        <is>
          <t>eBay</t>
        </is>
      </c>
      <c r="G31" s="91" t="n">
        <v>58.66</v>
      </c>
      <c r="H31" s="91" t="n">
        <v>66.03</v>
      </c>
      <c r="I31" s="92">
        <f>H31-G31</f>
        <v/>
      </c>
      <c r="J31" s="93">
        <f>I31/H31</f>
        <v/>
      </c>
      <c r="K31" s="94" t="inlineStr">
        <is>
          <t>Profit</t>
        </is>
      </c>
    </row>
    <row r="32" ht="15" customHeight="1" s="64">
      <c r="A32" s="83" t="inlineStr">
        <is>
          <t>TXN-031</t>
        </is>
      </c>
      <c r="B32" s="84" t="inlineStr">
        <is>
          <t>Jun 16, 2025</t>
        </is>
      </c>
      <c r="C32" s="84" t="inlineStr">
        <is>
          <t>Blooming Waters Collection</t>
        </is>
      </c>
      <c r="D32" s="83" t="inlineStr">
        <is>
          <t>Sealed</t>
        </is>
      </c>
      <c r="E32" s="83" t="inlineStr">
        <is>
          <t>Special Products</t>
        </is>
      </c>
      <c r="F32" s="83" t="inlineStr">
        <is>
          <t>Facebook Marketplace</t>
        </is>
      </c>
      <c r="G32" s="85" t="n">
        <v>27.2</v>
      </c>
      <c r="H32" s="85" t="n">
        <v>37.96</v>
      </c>
      <c r="I32" s="86">
        <f>H32-G32</f>
        <v/>
      </c>
      <c r="J32" s="87">
        <f>I32/H32</f>
        <v/>
      </c>
      <c r="K32" s="88" t="inlineStr">
        <is>
          <t>Profit</t>
        </is>
      </c>
    </row>
    <row r="33" ht="15" customHeight="1" s="64">
      <c r="A33" s="89" t="inlineStr">
        <is>
          <t>TXN-032</t>
        </is>
      </c>
      <c r="B33" s="90" t="inlineStr">
        <is>
          <t>Jun 17, 2025</t>
        </is>
      </c>
      <c r="C33" s="90" t="inlineStr">
        <is>
          <t>Prismatic Evolutions Special Collection</t>
        </is>
      </c>
      <c r="D33" s="89" t="inlineStr">
        <is>
          <t>Sealed</t>
        </is>
      </c>
      <c r="E33" s="89" t="inlineStr">
        <is>
          <t>Special Products</t>
        </is>
      </c>
      <c r="F33" s="89" t="inlineStr">
        <is>
          <t>eBay</t>
        </is>
      </c>
      <c r="G33" s="91" t="n">
        <v>82.01000000000001</v>
      </c>
      <c r="H33" s="91" t="n">
        <v>119.27</v>
      </c>
      <c r="I33" s="92">
        <f>H33-G33</f>
        <v/>
      </c>
      <c r="J33" s="93">
        <f>I33/H33</f>
        <v/>
      </c>
      <c r="K33" s="94" t="inlineStr">
        <is>
          <t>Profit</t>
        </is>
      </c>
    </row>
    <row r="34" ht="15" customHeight="1" s="64">
      <c r="A34" s="95" t="inlineStr">
        <is>
          <t>TXN-033</t>
        </is>
      </c>
      <c r="B34" s="96" t="inlineStr">
        <is>
          <t>Jun 17, 2025</t>
        </is>
      </c>
      <c r="C34" s="96" t="inlineStr">
        <is>
          <t>Surging Sparks Booster Bundle</t>
        </is>
      </c>
      <c r="D34" s="95" t="inlineStr">
        <is>
          <t>Sealed</t>
        </is>
      </c>
      <c r="E34" s="95" t="inlineStr">
        <is>
          <t>Booster Pack Bundle</t>
        </is>
      </c>
      <c r="F34" s="95" t="inlineStr">
        <is>
          <t>TCGPlayer</t>
        </is>
      </c>
      <c r="G34" s="97" t="n">
        <v>23.6</v>
      </c>
      <c r="H34" s="97" t="n">
        <v>20.9</v>
      </c>
      <c r="I34" s="98">
        <f>H34-G34</f>
        <v/>
      </c>
      <c r="J34" s="99">
        <f>I34/H34</f>
        <v/>
      </c>
      <c r="K34" s="100" t="inlineStr">
        <is>
          <t>Loss</t>
        </is>
      </c>
    </row>
    <row r="35" ht="15" customHeight="1" s="64">
      <c r="A35" s="89" t="inlineStr">
        <is>
          <t>TXN-034</t>
        </is>
      </c>
      <c r="B35" s="90" t="inlineStr">
        <is>
          <t>Jun 17, 2025</t>
        </is>
      </c>
      <c r="C35" s="90" t="inlineStr">
        <is>
          <t>Journey Together Booster Bundle</t>
        </is>
      </c>
      <c r="D35" s="89" t="inlineStr">
        <is>
          <t>Sealed</t>
        </is>
      </c>
      <c r="E35" s="89" t="inlineStr">
        <is>
          <t>Booster Pack Bundle</t>
        </is>
      </c>
      <c r="F35" s="89" t="inlineStr">
        <is>
          <t>TCGPlayer</t>
        </is>
      </c>
      <c r="G35" s="91" t="n">
        <v>23.35</v>
      </c>
      <c r="H35" s="91" t="n">
        <v>30.48</v>
      </c>
      <c r="I35" s="92">
        <f>H35-G35</f>
        <v/>
      </c>
      <c r="J35" s="93">
        <f>I35/H35</f>
        <v/>
      </c>
      <c r="K35" s="94" t="inlineStr">
        <is>
          <t>Profit</t>
        </is>
      </c>
    </row>
    <row r="36" ht="15" customHeight="1" s="64">
      <c r="A36" s="83" t="inlineStr">
        <is>
          <t>TXN-035</t>
        </is>
      </c>
      <c r="B36" s="84" t="inlineStr">
        <is>
          <t>Jun 17, 2025</t>
        </is>
      </c>
      <c r="C36" s="84" t="inlineStr">
        <is>
          <t>Prismatic Evolutions Special Collection</t>
        </is>
      </c>
      <c r="D36" s="83" t="inlineStr">
        <is>
          <t>Sealed</t>
        </is>
      </c>
      <c r="E36" s="83" t="inlineStr">
        <is>
          <t>Special Products</t>
        </is>
      </c>
      <c r="F36" s="83" t="inlineStr">
        <is>
          <t>eBay</t>
        </is>
      </c>
      <c r="G36" s="85" t="n">
        <v>59.61</v>
      </c>
      <c r="H36" s="85" t="n">
        <v>110.08</v>
      </c>
      <c r="I36" s="86">
        <f>H36-G36</f>
        <v/>
      </c>
      <c r="J36" s="87">
        <f>I36/H36</f>
        <v/>
      </c>
      <c r="K36" s="88" t="inlineStr">
        <is>
          <t>Profit</t>
        </is>
      </c>
    </row>
    <row r="37" ht="15" customHeight="1" s="64">
      <c r="A37" s="89" t="inlineStr">
        <is>
          <t>TXN-036</t>
        </is>
      </c>
      <c r="B37" s="90" t="inlineStr">
        <is>
          <t>Jun 18, 2025</t>
        </is>
      </c>
      <c r="C37" s="90" t="inlineStr">
        <is>
          <t>Destined Rivals Booster Bundle</t>
        </is>
      </c>
      <c r="D37" s="89" t="inlineStr">
        <is>
          <t>Sealed</t>
        </is>
      </c>
      <c r="E37" s="89" t="inlineStr">
        <is>
          <t>Booster Pack Bundle</t>
        </is>
      </c>
      <c r="F37" s="89" t="inlineStr">
        <is>
          <t>eBay</t>
        </is>
      </c>
      <c r="G37" s="91" t="n">
        <v>22.96</v>
      </c>
      <c r="H37" s="91" t="n">
        <v>30.8</v>
      </c>
      <c r="I37" s="92">
        <f>H37-G37</f>
        <v/>
      </c>
      <c r="J37" s="93">
        <f>I37/H37</f>
        <v/>
      </c>
      <c r="K37" s="94" t="inlineStr">
        <is>
          <t>Profit</t>
        </is>
      </c>
    </row>
    <row r="38" ht="15" customHeight="1" s="64">
      <c r="A38" s="83" t="inlineStr">
        <is>
          <t>TXN-037</t>
        </is>
      </c>
      <c r="B38" s="84" t="inlineStr">
        <is>
          <t>Jun 19, 2025</t>
        </is>
      </c>
      <c r="C38" s="84" t="inlineStr">
        <is>
          <t>Surging Sparks Booster Bundle</t>
        </is>
      </c>
      <c r="D38" s="83" t="inlineStr">
        <is>
          <t>Sealed</t>
        </is>
      </c>
      <c r="E38" s="83" t="inlineStr">
        <is>
          <t>Booster Pack Bundle</t>
        </is>
      </c>
      <c r="F38" s="83" t="inlineStr">
        <is>
          <t>eBay</t>
        </is>
      </c>
      <c r="G38" s="85" t="n">
        <v>30.23</v>
      </c>
      <c r="H38" s="85" t="n">
        <v>34.53</v>
      </c>
      <c r="I38" s="86">
        <f>H38-G38</f>
        <v/>
      </c>
      <c r="J38" s="87">
        <f>I38/H38</f>
        <v/>
      </c>
      <c r="K38" s="88" t="inlineStr">
        <is>
          <t>Profit</t>
        </is>
      </c>
    </row>
    <row r="39" ht="15" customHeight="1" s="64">
      <c r="A39" s="89" t="inlineStr">
        <is>
          <t>TXN-038</t>
        </is>
      </c>
      <c r="B39" s="90" t="inlineStr">
        <is>
          <t>Jun 19, 2025</t>
        </is>
      </c>
      <c r="C39" s="90" t="inlineStr">
        <is>
          <t>Destined Rivals Elite Trainer Box</t>
        </is>
      </c>
      <c r="D39" s="89" t="inlineStr">
        <is>
          <t>Sealed</t>
        </is>
      </c>
      <c r="E39" s="89" t="inlineStr">
        <is>
          <t>ETB</t>
        </is>
      </c>
      <c r="F39" s="89" t="inlineStr">
        <is>
          <t>eBay</t>
        </is>
      </c>
      <c r="G39" s="91" t="n">
        <v>70.77</v>
      </c>
      <c r="H39" s="91" t="n">
        <v>85.48999999999999</v>
      </c>
      <c r="I39" s="92">
        <f>H39-G39</f>
        <v/>
      </c>
      <c r="J39" s="93">
        <f>I39/H39</f>
        <v/>
      </c>
      <c r="K39" s="94" t="inlineStr">
        <is>
          <t>Profit</t>
        </is>
      </c>
    </row>
    <row r="40" ht="15" customHeight="1" s="64">
      <c r="A40" s="83" t="inlineStr">
        <is>
          <t>TXN-039</t>
        </is>
      </c>
      <c r="B40" s="84" t="inlineStr">
        <is>
          <t>Jun 20, 2025</t>
        </is>
      </c>
      <c r="C40" s="84" t="inlineStr">
        <is>
          <t>Shrouded Fable Booster Bundle</t>
        </is>
      </c>
      <c r="D40" s="83" t="inlineStr">
        <is>
          <t>Sealed</t>
        </is>
      </c>
      <c r="E40" s="83" t="inlineStr">
        <is>
          <t>Booster Pack Bundle</t>
        </is>
      </c>
      <c r="F40" s="83" t="inlineStr">
        <is>
          <t>TCGPlayer</t>
        </is>
      </c>
      <c r="G40" s="85" t="n">
        <v>19.61</v>
      </c>
      <c r="H40" s="85" t="n">
        <v>24.75</v>
      </c>
      <c r="I40" s="86">
        <f>H40-G40</f>
        <v/>
      </c>
      <c r="J40" s="87">
        <f>I40/H40</f>
        <v/>
      </c>
      <c r="K40" s="88" t="inlineStr">
        <is>
          <t>Profit</t>
        </is>
      </c>
    </row>
    <row r="41" ht="15" customHeight="1" s="64">
      <c r="A41" s="89" t="inlineStr">
        <is>
          <t>TXN-040</t>
        </is>
      </c>
      <c r="B41" s="90" t="inlineStr">
        <is>
          <t>Jun 20, 2025</t>
        </is>
      </c>
      <c r="C41" s="90" t="inlineStr">
        <is>
          <t>Crown Zenith Tin</t>
        </is>
      </c>
      <c r="D41" s="89" t="inlineStr">
        <is>
          <t>Sealed</t>
        </is>
      </c>
      <c r="E41" s="89" t="inlineStr">
        <is>
          <t>Special Products</t>
        </is>
      </c>
      <c r="F41" s="89" t="inlineStr">
        <is>
          <t>eBay</t>
        </is>
      </c>
      <c r="G41" s="91" t="n">
        <v>25.93</v>
      </c>
      <c r="H41" s="91" t="n">
        <v>35.42</v>
      </c>
      <c r="I41" s="92">
        <f>H41-G41</f>
        <v/>
      </c>
      <c r="J41" s="93">
        <f>I41/H41</f>
        <v/>
      </c>
      <c r="K41" s="94" t="inlineStr">
        <is>
          <t>Profit</t>
        </is>
      </c>
    </row>
    <row r="42" ht="15" customHeight="1" s="64">
      <c r="A42" s="83" t="inlineStr">
        <is>
          <t>TXN-041</t>
        </is>
      </c>
      <c r="B42" s="84" t="inlineStr">
        <is>
          <t>Jun 21, 2025</t>
        </is>
      </c>
      <c r="C42" s="84" t="inlineStr">
        <is>
          <t>Blooming Waters Collection</t>
        </is>
      </c>
      <c r="D42" s="83" t="inlineStr">
        <is>
          <t>Sealed</t>
        </is>
      </c>
      <c r="E42" s="83" t="inlineStr">
        <is>
          <t>Special Products</t>
        </is>
      </c>
      <c r="F42" s="83" t="inlineStr">
        <is>
          <t>Facebook Marketplace</t>
        </is>
      </c>
      <c r="G42" s="85" t="n">
        <v>29.59</v>
      </c>
      <c r="H42" s="85" t="n">
        <v>38.16</v>
      </c>
      <c r="I42" s="86">
        <f>H42-G42</f>
        <v/>
      </c>
      <c r="J42" s="87">
        <f>I42/H42</f>
        <v/>
      </c>
      <c r="K42" s="88" t="inlineStr">
        <is>
          <t>Profit</t>
        </is>
      </c>
    </row>
    <row r="43" ht="15" customHeight="1" s="64">
      <c r="A43" s="89" t="inlineStr">
        <is>
          <t>TXN-042</t>
        </is>
      </c>
      <c r="B43" s="90" t="inlineStr">
        <is>
          <t>Jun 22, 2025</t>
        </is>
      </c>
      <c r="C43" s="90" t="inlineStr">
        <is>
          <t>Prismatic Evolutions Elite Trainer Box</t>
        </is>
      </c>
      <c r="D43" s="89" t="inlineStr">
        <is>
          <t>Sealed</t>
        </is>
      </c>
      <c r="E43" s="89" t="inlineStr">
        <is>
          <t>ETB</t>
        </is>
      </c>
      <c r="F43" s="89" t="inlineStr">
        <is>
          <t>eBay</t>
        </is>
      </c>
      <c r="G43" s="91" t="n">
        <v>58.67</v>
      </c>
      <c r="H43" s="91" t="n">
        <v>83.62</v>
      </c>
      <c r="I43" s="92">
        <f>H43-G43</f>
        <v/>
      </c>
      <c r="J43" s="93">
        <f>I43/H43</f>
        <v/>
      </c>
      <c r="K43" s="94" t="inlineStr">
        <is>
          <t>Profit</t>
        </is>
      </c>
    </row>
    <row r="44" ht="15" customHeight="1" s="64">
      <c r="A44" s="83" t="inlineStr">
        <is>
          <t>TXN-043</t>
        </is>
      </c>
      <c r="B44" s="84" t="inlineStr">
        <is>
          <t>Jun 23, 2025</t>
        </is>
      </c>
      <c r="C44" s="84" t="inlineStr">
        <is>
          <t>Shrouded Fable Booster Bundle</t>
        </is>
      </c>
      <c r="D44" s="83" t="inlineStr">
        <is>
          <t>Sealed</t>
        </is>
      </c>
      <c r="E44" s="83" t="inlineStr">
        <is>
          <t>Booster Pack Bundle</t>
        </is>
      </c>
      <c r="F44" s="83" t="inlineStr">
        <is>
          <t>TCGPlayer</t>
        </is>
      </c>
      <c r="G44" s="85" t="n">
        <v>25.41</v>
      </c>
      <c r="H44" s="85" t="n">
        <v>35.26</v>
      </c>
      <c r="I44" s="86">
        <f>H44-G44</f>
        <v/>
      </c>
      <c r="J44" s="87">
        <f>I44/H44</f>
        <v/>
      </c>
      <c r="K44" s="88" t="inlineStr">
        <is>
          <t>Profit</t>
        </is>
      </c>
    </row>
    <row r="45" ht="15" customHeight="1" s="64">
      <c r="A45" s="89" t="inlineStr">
        <is>
          <t>TXN-044</t>
        </is>
      </c>
      <c r="B45" s="90" t="inlineStr">
        <is>
          <t>Jun 23, 2025</t>
        </is>
      </c>
      <c r="C45" s="90" t="inlineStr">
        <is>
          <t>Surging Sparks Booster Bundle</t>
        </is>
      </c>
      <c r="D45" s="89" t="inlineStr">
        <is>
          <t>Sealed</t>
        </is>
      </c>
      <c r="E45" s="89" t="inlineStr">
        <is>
          <t>Booster Pack Bundle</t>
        </is>
      </c>
      <c r="F45" s="89" t="inlineStr">
        <is>
          <t>eBay</t>
        </is>
      </c>
      <c r="G45" s="91" t="n">
        <v>31.37</v>
      </c>
      <c r="H45" s="91" t="n">
        <v>35.08</v>
      </c>
      <c r="I45" s="92">
        <f>H45-G45</f>
        <v/>
      </c>
      <c r="J45" s="93">
        <f>I45/H45</f>
        <v/>
      </c>
      <c r="K45" s="94" t="inlineStr">
        <is>
          <t>Profit</t>
        </is>
      </c>
    </row>
    <row r="46" ht="15" customHeight="1" s="64">
      <c r="A46" s="95" t="inlineStr">
        <is>
          <t>TXN-045</t>
        </is>
      </c>
      <c r="B46" s="96" t="inlineStr">
        <is>
          <t>Jun 24, 2025</t>
        </is>
      </c>
      <c r="C46" s="96" t="inlineStr">
        <is>
          <t>Crown Zenith Tin</t>
        </is>
      </c>
      <c r="D46" s="95" t="inlineStr">
        <is>
          <t>Sealed</t>
        </is>
      </c>
      <c r="E46" s="95" t="inlineStr">
        <is>
          <t>Special Products</t>
        </is>
      </c>
      <c r="F46" s="95" t="inlineStr">
        <is>
          <t>eBay</t>
        </is>
      </c>
      <c r="G46" s="97" t="n">
        <v>26.05</v>
      </c>
      <c r="H46" s="97" t="n">
        <v>23.9</v>
      </c>
      <c r="I46" s="98">
        <f>H46-G46</f>
        <v/>
      </c>
      <c r="J46" s="99">
        <f>I46/H46</f>
        <v/>
      </c>
      <c r="K46" s="100" t="inlineStr">
        <is>
          <t>Loss</t>
        </is>
      </c>
    </row>
    <row r="47" ht="15" customHeight="1" s="64">
      <c r="A47" s="89" t="inlineStr">
        <is>
          <t>TXN-046</t>
        </is>
      </c>
      <c r="B47" s="90" t="inlineStr">
        <is>
          <t>Jun 26, 2025</t>
        </is>
      </c>
      <c r="C47" s="90" t="inlineStr">
        <is>
          <t>Surging Sparks Booster Bundle</t>
        </is>
      </c>
      <c r="D47" s="89" t="inlineStr">
        <is>
          <t>Sealed</t>
        </is>
      </c>
      <c r="E47" s="89" t="inlineStr">
        <is>
          <t>Booster Pack Bundle</t>
        </is>
      </c>
      <c r="F47" s="89" t="inlineStr">
        <is>
          <t>TCGPlayer</t>
        </is>
      </c>
      <c r="G47" s="91" t="n">
        <v>26.94</v>
      </c>
      <c r="H47" s="91" t="n">
        <v>38.56</v>
      </c>
      <c r="I47" s="92">
        <f>H47-G47</f>
        <v/>
      </c>
      <c r="J47" s="93">
        <f>I47/H47</f>
        <v/>
      </c>
      <c r="K47" s="94" t="inlineStr">
        <is>
          <t>Profit</t>
        </is>
      </c>
    </row>
    <row r="48" ht="15" customHeight="1" s="64">
      <c r="A48" s="83" t="inlineStr">
        <is>
          <t>TXN-047</t>
        </is>
      </c>
      <c r="B48" s="84" t="inlineStr">
        <is>
          <t>Jun 26, 2025</t>
        </is>
      </c>
      <c r="C48" s="84" t="inlineStr">
        <is>
          <t>Destined Rivals Booster Bundle</t>
        </is>
      </c>
      <c r="D48" s="83" t="inlineStr">
        <is>
          <t>Sealed</t>
        </is>
      </c>
      <c r="E48" s="83" t="inlineStr">
        <is>
          <t>Booster Pack Bundle</t>
        </is>
      </c>
      <c r="F48" s="83" t="inlineStr">
        <is>
          <t>TCGPlayer</t>
        </is>
      </c>
      <c r="G48" s="85" t="n">
        <v>24.82</v>
      </c>
      <c r="H48" s="85" t="n">
        <v>33.08</v>
      </c>
      <c r="I48" s="86">
        <f>H48-G48</f>
        <v/>
      </c>
      <c r="J48" s="87">
        <f>I48/H48</f>
        <v/>
      </c>
      <c r="K48" s="88" t="inlineStr">
        <is>
          <t>Profit</t>
        </is>
      </c>
    </row>
    <row r="49" ht="15" customHeight="1" s="64">
      <c r="A49" s="89" t="inlineStr">
        <is>
          <t>TXN-048</t>
        </is>
      </c>
      <c r="B49" s="90" t="inlineStr">
        <is>
          <t>Jul 2, 2025</t>
        </is>
      </c>
      <c r="C49" s="90" t="inlineStr">
        <is>
          <t>Destined Rivals Booster Bundle</t>
        </is>
      </c>
      <c r="D49" s="89" t="inlineStr">
        <is>
          <t>Sealed</t>
        </is>
      </c>
      <c r="E49" s="89" t="inlineStr">
        <is>
          <t>Booster Pack Bundle</t>
        </is>
      </c>
      <c r="F49" s="89" t="inlineStr">
        <is>
          <t>eBay</t>
        </is>
      </c>
      <c r="G49" s="91" t="n">
        <v>26.07</v>
      </c>
      <c r="H49" s="91" t="n">
        <v>35.74</v>
      </c>
      <c r="I49" s="92">
        <f>H49-G49</f>
        <v/>
      </c>
      <c r="J49" s="93">
        <f>I49/H49</f>
        <v/>
      </c>
      <c r="K49" s="94" t="inlineStr">
        <is>
          <t>Profit</t>
        </is>
      </c>
    </row>
    <row r="50" ht="15" customHeight="1" s="64">
      <c r="A50" s="83" t="inlineStr">
        <is>
          <t>TXN-049</t>
        </is>
      </c>
      <c r="B50" s="84" t="inlineStr">
        <is>
          <t>Jul 3, 2025</t>
        </is>
      </c>
      <c r="C50" s="84" t="inlineStr">
        <is>
          <t>Crown Zenith Tin</t>
        </is>
      </c>
      <c r="D50" s="83" t="inlineStr">
        <is>
          <t>Sealed</t>
        </is>
      </c>
      <c r="E50" s="83" t="inlineStr">
        <is>
          <t>Special Products</t>
        </is>
      </c>
      <c r="F50" s="83" t="inlineStr">
        <is>
          <t>TCGPlayer</t>
        </is>
      </c>
      <c r="G50" s="85" t="n">
        <v>28.24</v>
      </c>
      <c r="H50" s="85" t="n">
        <v>37.93</v>
      </c>
      <c r="I50" s="86">
        <f>H50-G50</f>
        <v/>
      </c>
      <c r="J50" s="87">
        <f>I50/H50</f>
        <v/>
      </c>
      <c r="K50" s="88" t="inlineStr">
        <is>
          <t>Profit</t>
        </is>
      </c>
    </row>
    <row r="51" ht="15" customHeight="1" s="64">
      <c r="A51" s="89" t="inlineStr">
        <is>
          <t>TXN-050</t>
        </is>
      </c>
      <c r="B51" s="90" t="inlineStr">
        <is>
          <t>Jul 4, 2025</t>
        </is>
      </c>
      <c r="C51" s="90" t="inlineStr">
        <is>
          <t>Crown Zenith Tin</t>
        </is>
      </c>
      <c r="D51" s="89" t="inlineStr">
        <is>
          <t>Sealed</t>
        </is>
      </c>
      <c r="E51" s="89" t="inlineStr">
        <is>
          <t>Special Products</t>
        </is>
      </c>
      <c r="F51" s="89" t="inlineStr">
        <is>
          <t>eBay</t>
        </is>
      </c>
      <c r="G51" s="91" t="n">
        <v>20.23</v>
      </c>
      <c r="H51" s="91" t="n">
        <v>41.93</v>
      </c>
      <c r="I51" s="92">
        <f>H51-G51</f>
        <v/>
      </c>
      <c r="J51" s="93">
        <f>I51/H51</f>
        <v/>
      </c>
      <c r="K51" s="94" t="inlineStr">
        <is>
          <t>Profit</t>
        </is>
      </c>
    </row>
    <row r="52" ht="15" customHeight="1" s="64">
      <c r="A52" s="83" t="inlineStr">
        <is>
          <t>TXN-051</t>
        </is>
      </c>
      <c r="B52" s="84" t="inlineStr">
        <is>
          <t>Jul 4, 2025</t>
        </is>
      </c>
      <c r="C52" s="84" t="inlineStr">
        <is>
          <t>Stellar Crown Elite Trainer Box</t>
        </is>
      </c>
      <c r="D52" s="83" t="inlineStr">
        <is>
          <t>Sealed</t>
        </is>
      </c>
      <c r="E52" s="83" t="inlineStr">
        <is>
          <t>ETB</t>
        </is>
      </c>
      <c r="F52" s="83" t="inlineStr">
        <is>
          <t>eBay</t>
        </is>
      </c>
      <c r="G52" s="85" t="n">
        <v>63.3</v>
      </c>
      <c r="H52" s="85" t="n">
        <v>93.84999999999999</v>
      </c>
      <c r="I52" s="86">
        <f>H52-G52</f>
        <v/>
      </c>
      <c r="J52" s="87">
        <f>I52/H52</f>
        <v/>
      </c>
      <c r="K52" s="88" t="inlineStr">
        <is>
          <t>Profit</t>
        </is>
      </c>
    </row>
    <row r="53" ht="15" customHeight="1" s="64">
      <c r="A53" s="89" t="inlineStr">
        <is>
          <t>TXN-052</t>
        </is>
      </c>
      <c r="B53" s="90" t="inlineStr">
        <is>
          <t>Jul 4, 2025</t>
        </is>
      </c>
      <c r="C53" s="90" t="inlineStr">
        <is>
          <t>Prismatic Evolutions Elite Trainer Box</t>
        </is>
      </c>
      <c r="D53" s="89" t="inlineStr">
        <is>
          <t>Sealed</t>
        </is>
      </c>
      <c r="E53" s="89" t="inlineStr">
        <is>
          <t>ETB</t>
        </is>
      </c>
      <c r="F53" s="89" t="inlineStr">
        <is>
          <t>Facebook Marketplace</t>
        </is>
      </c>
      <c r="G53" s="91" t="n">
        <v>51.34</v>
      </c>
      <c r="H53" s="91" t="n">
        <v>84.47</v>
      </c>
      <c r="I53" s="92">
        <f>H53-G53</f>
        <v/>
      </c>
      <c r="J53" s="93">
        <f>I53/H53</f>
        <v/>
      </c>
      <c r="K53" s="94" t="inlineStr">
        <is>
          <t>Profit</t>
        </is>
      </c>
    </row>
    <row r="54" ht="15" customHeight="1" s="64">
      <c r="A54" s="83" t="inlineStr">
        <is>
          <t>TXN-053</t>
        </is>
      </c>
      <c r="B54" s="84" t="inlineStr">
        <is>
          <t>Jul 5, 2025</t>
        </is>
      </c>
      <c r="C54" s="84" t="inlineStr">
        <is>
          <t>Shrouded Fable Booster Bundle</t>
        </is>
      </c>
      <c r="D54" s="83" t="inlineStr">
        <is>
          <t>Sealed</t>
        </is>
      </c>
      <c r="E54" s="83" t="inlineStr">
        <is>
          <t>Booster Pack Bundle</t>
        </is>
      </c>
      <c r="F54" s="83" t="inlineStr">
        <is>
          <t>TCGPlayer</t>
        </is>
      </c>
      <c r="G54" s="85" t="n">
        <v>25.39</v>
      </c>
      <c r="H54" s="85" t="n">
        <v>30.16</v>
      </c>
      <c r="I54" s="86">
        <f>H54-G54</f>
        <v/>
      </c>
      <c r="J54" s="87">
        <f>I54/H54</f>
        <v/>
      </c>
      <c r="K54" s="88" t="inlineStr">
        <is>
          <t>Profit</t>
        </is>
      </c>
    </row>
    <row r="55" ht="15" customHeight="1" s="64">
      <c r="A55" s="95" t="inlineStr">
        <is>
          <t>TXN-054</t>
        </is>
      </c>
      <c r="B55" s="96" t="inlineStr">
        <is>
          <t>Jul 5, 2025</t>
        </is>
      </c>
      <c r="C55" s="96" t="inlineStr">
        <is>
          <t>Journey Together Booster Bundle</t>
        </is>
      </c>
      <c r="D55" s="95" t="inlineStr">
        <is>
          <t>Sealed</t>
        </is>
      </c>
      <c r="E55" s="95" t="inlineStr">
        <is>
          <t>Booster Pack Bundle</t>
        </is>
      </c>
      <c r="F55" s="95" t="inlineStr">
        <is>
          <t>eBay</t>
        </is>
      </c>
      <c r="G55" s="97" t="n">
        <v>24.94</v>
      </c>
      <c r="H55" s="97" t="n">
        <v>23.85</v>
      </c>
      <c r="I55" s="98">
        <f>H55-G55</f>
        <v/>
      </c>
      <c r="J55" s="99">
        <f>I55/H55</f>
        <v/>
      </c>
      <c r="K55" s="100" t="inlineStr">
        <is>
          <t>Loss</t>
        </is>
      </c>
    </row>
    <row r="56" ht="15" customHeight="1" s="64">
      <c r="A56" s="83" t="inlineStr">
        <is>
          <t>TXN-055</t>
        </is>
      </c>
      <c r="B56" s="84" t="inlineStr">
        <is>
          <t>Jul 5, 2025</t>
        </is>
      </c>
      <c r="C56" s="84" t="inlineStr">
        <is>
          <t>Surging Sparks Booster Bundle</t>
        </is>
      </c>
      <c r="D56" s="83" t="inlineStr">
        <is>
          <t>Sealed</t>
        </is>
      </c>
      <c r="E56" s="83" t="inlineStr">
        <is>
          <t>Booster Pack Bundle</t>
        </is>
      </c>
      <c r="F56" s="83" t="inlineStr">
        <is>
          <t>Facebook Marketplace</t>
        </is>
      </c>
      <c r="G56" s="85" t="n">
        <v>22.43</v>
      </c>
      <c r="H56" s="85" t="n">
        <v>40.78</v>
      </c>
      <c r="I56" s="86">
        <f>H56-G56</f>
        <v/>
      </c>
      <c r="J56" s="87">
        <f>I56/H56</f>
        <v/>
      </c>
      <c r="K56" s="88" t="inlineStr">
        <is>
          <t>Profit</t>
        </is>
      </c>
    </row>
    <row r="57" ht="15" customHeight="1" s="64">
      <c r="A57" s="89" t="inlineStr">
        <is>
          <t>TXN-056</t>
        </is>
      </c>
      <c r="B57" s="90" t="inlineStr">
        <is>
          <t>Jul 5, 2025</t>
        </is>
      </c>
      <c r="C57" s="90" t="inlineStr">
        <is>
          <t>Crown Zenith Tin</t>
        </is>
      </c>
      <c r="D57" s="89" t="inlineStr">
        <is>
          <t>Sealed</t>
        </is>
      </c>
      <c r="E57" s="89" t="inlineStr">
        <is>
          <t>Special Products</t>
        </is>
      </c>
      <c r="F57" s="89" t="inlineStr">
        <is>
          <t>TCGPlayer</t>
        </is>
      </c>
      <c r="G57" s="91" t="n">
        <v>25.47</v>
      </c>
      <c r="H57" s="91" t="n">
        <v>40.51</v>
      </c>
      <c r="I57" s="92">
        <f>H57-G57</f>
        <v/>
      </c>
      <c r="J57" s="93">
        <f>I57/H57</f>
        <v/>
      </c>
      <c r="K57" s="94" t="inlineStr">
        <is>
          <t>Profit</t>
        </is>
      </c>
    </row>
    <row r="58" ht="15" customHeight="1" s="64">
      <c r="A58" s="83" t="inlineStr">
        <is>
          <t>TXN-057</t>
        </is>
      </c>
      <c r="B58" s="84" t="inlineStr">
        <is>
          <t>Jul 5, 2025</t>
        </is>
      </c>
      <c r="C58" s="84" t="inlineStr">
        <is>
          <t>Destined Rivals Elite Trainer Box</t>
        </is>
      </c>
      <c r="D58" s="83" t="inlineStr">
        <is>
          <t>Sealed</t>
        </is>
      </c>
      <c r="E58" s="83" t="inlineStr">
        <is>
          <t>ETB</t>
        </is>
      </c>
      <c r="F58" s="83" t="inlineStr">
        <is>
          <t>eBay</t>
        </is>
      </c>
      <c r="G58" s="85" t="n">
        <v>55.49</v>
      </c>
      <c r="H58" s="85" t="n">
        <v>85.14</v>
      </c>
      <c r="I58" s="86">
        <f>H58-G58</f>
        <v/>
      </c>
      <c r="J58" s="87">
        <f>I58/H58</f>
        <v/>
      </c>
      <c r="K58" s="88" t="inlineStr">
        <is>
          <t>Profit</t>
        </is>
      </c>
    </row>
    <row r="59" ht="15" customHeight="1" s="64">
      <c r="A59" s="89" t="inlineStr">
        <is>
          <t>TXN-058</t>
        </is>
      </c>
      <c r="B59" s="90" t="inlineStr">
        <is>
          <t>Jul 6, 2025</t>
        </is>
      </c>
      <c r="C59" s="90" t="inlineStr">
        <is>
          <t>Destined Rivals Booster Bundle</t>
        </is>
      </c>
      <c r="D59" s="89" t="inlineStr">
        <is>
          <t>Sealed</t>
        </is>
      </c>
      <c r="E59" s="89" t="inlineStr">
        <is>
          <t>Booster Pack Bundle</t>
        </is>
      </c>
      <c r="F59" s="89" t="inlineStr">
        <is>
          <t>eBay</t>
        </is>
      </c>
      <c r="G59" s="91" t="n">
        <v>27.48</v>
      </c>
      <c r="H59" s="91" t="n">
        <v>39.22</v>
      </c>
      <c r="I59" s="92">
        <f>H59-G59</f>
        <v/>
      </c>
      <c r="J59" s="93">
        <f>I59/H59</f>
        <v/>
      </c>
      <c r="K59" s="94" t="inlineStr">
        <is>
          <t>Profit</t>
        </is>
      </c>
    </row>
    <row r="60" ht="15" customHeight="1" s="64">
      <c r="A60" s="83" t="inlineStr">
        <is>
          <t>TXN-059</t>
        </is>
      </c>
      <c r="B60" s="84" t="inlineStr">
        <is>
          <t>Jul 6, 2025</t>
        </is>
      </c>
      <c r="C60" s="84" t="inlineStr">
        <is>
          <t>Crown Zenith Tin</t>
        </is>
      </c>
      <c r="D60" s="83" t="inlineStr">
        <is>
          <t>Sealed</t>
        </is>
      </c>
      <c r="E60" s="83" t="inlineStr">
        <is>
          <t>Special Products</t>
        </is>
      </c>
      <c r="F60" s="83" t="inlineStr">
        <is>
          <t>TCGPlayer</t>
        </is>
      </c>
      <c r="G60" s="85" t="n">
        <v>26.29</v>
      </c>
      <c r="H60" s="85" t="n">
        <v>35.51</v>
      </c>
      <c r="I60" s="86">
        <f>H60-G60</f>
        <v/>
      </c>
      <c r="J60" s="87">
        <f>I60/H60</f>
        <v/>
      </c>
      <c r="K60" s="88" t="inlineStr">
        <is>
          <t>Profit</t>
        </is>
      </c>
    </row>
    <row r="61" ht="15" customHeight="1" s="64">
      <c r="A61" s="89" t="inlineStr">
        <is>
          <t>TXN-060</t>
        </is>
      </c>
      <c r="B61" s="90" t="inlineStr">
        <is>
          <t>Jul 7, 2025</t>
        </is>
      </c>
      <c r="C61" s="90" t="inlineStr">
        <is>
          <t>White Flare Elite Trainer Box</t>
        </is>
      </c>
      <c r="D61" s="89" t="inlineStr">
        <is>
          <t>Sealed</t>
        </is>
      </c>
      <c r="E61" s="89" t="inlineStr">
        <is>
          <t>ETB</t>
        </is>
      </c>
      <c r="F61" s="89" t="inlineStr">
        <is>
          <t>TCGPlayer</t>
        </is>
      </c>
      <c r="G61" s="91" t="n">
        <v>114.6</v>
      </c>
      <c r="H61" s="91" t="n">
        <v>139.63</v>
      </c>
      <c r="I61" s="92">
        <f>H61-G61</f>
        <v/>
      </c>
      <c r="J61" s="93">
        <f>I61/H61</f>
        <v/>
      </c>
      <c r="K61" s="94" t="inlineStr">
        <is>
          <t>Profit</t>
        </is>
      </c>
    </row>
    <row r="62" ht="15" customHeight="1" s="64">
      <c r="A62" s="83" t="inlineStr">
        <is>
          <t>TXN-061</t>
        </is>
      </c>
      <c r="B62" s="84" t="inlineStr">
        <is>
          <t>Jul 9, 2025</t>
        </is>
      </c>
      <c r="C62" s="84" t="inlineStr">
        <is>
          <t>White Flare Elite Trainer Box</t>
        </is>
      </c>
      <c r="D62" s="83" t="inlineStr">
        <is>
          <t>Sealed</t>
        </is>
      </c>
      <c r="E62" s="83" t="inlineStr">
        <is>
          <t>ETB</t>
        </is>
      </c>
      <c r="F62" s="83" t="inlineStr">
        <is>
          <t>eBay</t>
        </is>
      </c>
      <c r="G62" s="85" t="n">
        <v>76.45</v>
      </c>
      <c r="H62" s="85" t="n">
        <v>101.16</v>
      </c>
      <c r="I62" s="86">
        <f>H62-G62</f>
        <v/>
      </c>
      <c r="J62" s="87">
        <f>I62/H62</f>
        <v/>
      </c>
      <c r="K62" s="88" t="inlineStr">
        <is>
          <t>Profit</t>
        </is>
      </c>
    </row>
    <row r="63" ht="15" customHeight="1" s="64">
      <c r="A63" s="89" t="inlineStr">
        <is>
          <t>TXN-062</t>
        </is>
      </c>
      <c r="B63" s="90" t="inlineStr">
        <is>
          <t>Jul 9, 2025</t>
        </is>
      </c>
      <c r="C63" s="90" t="inlineStr">
        <is>
          <t>Scarlet &amp; Violet 151 Booster Bundle</t>
        </is>
      </c>
      <c r="D63" s="89" t="inlineStr">
        <is>
          <t>Sealed</t>
        </is>
      </c>
      <c r="E63" s="89" t="inlineStr">
        <is>
          <t>Booster Pack Bundle</t>
        </is>
      </c>
      <c r="F63" s="89" t="inlineStr">
        <is>
          <t>eBay</t>
        </is>
      </c>
      <c r="G63" s="91" t="n">
        <v>33.86</v>
      </c>
      <c r="H63" s="91" t="n">
        <v>42.9</v>
      </c>
      <c r="I63" s="92">
        <f>H63-G63</f>
        <v/>
      </c>
      <c r="J63" s="93">
        <f>I63/H63</f>
        <v/>
      </c>
      <c r="K63" s="94" t="inlineStr">
        <is>
          <t>Profit</t>
        </is>
      </c>
    </row>
    <row r="64" ht="15" customHeight="1" s="64">
      <c r="A64" s="83" t="inlineStr">
        <is>
          <t>TXN-063</t>
        </is>
      </c>
      <c r="B64" s="84" t="inlineStr">
        <is>
          <t>Jul 9, 2025</t>
        </is>
      </c>
      <c r="C64" s="84" t="inlineStr">
        <is>
          <t>Shrouded Fable Booster Bundle</t>
        </is>
      </c>
      <c r="D64" s="83" t="inlineStr">
        <is>
          <t>Sealed</t>
        </is>
      </c>
      <c r="E64" s="83" t="inlineStr">
        <is>
          <t>Booster Pack Bundle</t>
        </is>
      </c>
      <c r="F64" s="83" t="inlineStr">
        <is>
          <t>TCGPlayer</t>
        </is>
      </c>
      <c r="G64" s="85" t="n">
        <v>21.98</v>
      </c>
      <c r="H64" s="85" t="n">
        <v>25.82</v>
      </c>
      <c r="I64" s="86">
        <f>H64-G64</f>
        <v/>
      </c>
      <c r="J64" s="87">
        <f>I64/H64</f>
        <v/>
      </c>
      <c r="K64" s="88" t="inlineStr">
        <is>
          <t>Profit</t>
        </is>
      </c>
    </row>
    <row r="65" ht="15" customHeight="1" s="64">
      <c r="A65" s="89" t="inlineStr">
        <is>
          <t>TXN-064</t>
        </is>
      </c>
      <c r="B65" s="90" t="inlineStr">
        <is>
          <t>Jul 10, 2025</t>
        </is>
      </c>
      <c r="C65" s="90" t="inlineStr">
        <is>
          <t>Shrouded Fable Booster Bundle</t>
        </is>
      </c>
      <c r="D65" s="89" t="inlineStr">
        <is>
          <t>Sealed</t>
        </is>
      </c>
      <c r="E65" s="89" t="inlineStr">
        <is>
          <t>Booster Pack Bundle</t>
        </is>
      </c>
      <c r="F65" s="89" t="inlineStr">
        <is>
          <t>eBay</t>
        </is>
      </c>
      <c r="G65" s="91" t="n">
        <v>21.51</v>
      </c>
      <c r="H65" s="91" t="n">
        <v>34.5</v>
      </c>
      <c r="I65" s="92">
        <f>H65-G65</f>
        <v/>
      </c>
      <c r="J65" s="93">
        <f>I65/H65</f>
        <v/>
      </c>
      <c r="K65" s="94" t="inlineStr">
        <is>
          <t>Profit</t>
        </is>
      </c>
    </row>
    <row r="66" ht="15" customHeight="1" s="64">
      <c r="A66" s="83" t="inlineStr">
        <is>
          <t>TXN-065</t>
        </is>
      </c>
      <c r="B66" s="84" t="inlineStr">
        <is>
          <t>Jul 10, 2025</t>
        </is>
      </c>
      <c r="C66" s="84" t="inlineStr">
        <is>
          <t>Destined Rivals Booster Bundle</t>
        </is>
      </c>
      <c r="D66" s="83" t="inlineStr">
        <is>
          <t>Sealed</t>
        </is>
      </c>
      <c r="E66" s="83" t="inlineStr">
        <is>
          <t>Booster Pack Bundle</t>
        </is>
      </c>
      <c r="F66" s="83" t="inlineStr">
        <is>
          <t>TCGPlayer</t>
        </is>
      </c>
      <c r="G66" s="85" t="n">
        <v>28.97</v>
      </c>
      <c r="H66" s="85" t="n">
        <v>33.28</v>
      </c>
      <c r="I66" s="86">
        <f>H66-G66</f>
        <v/>
      </c>
      <c r="J66" s="87">
        <f>I66/H66</f>
        <v/>
      </c>
      <c r="K66" s="88" t="inlineStr">
        <is>
          <t>Profit</t>
        </is>
      </c>
    </row>
    <row r="67" ht="15" customHeight="1" s="64">
      <c r="A67" s="89" t="inlineStr">
        <is>
          <t>TXN-066</t>
        </is>
      </c>
      <c r="B67" s="90" t="inlineStr">
        <is>
          <t>Jul 10, 2025</t>
        </is>
      </c>
      <c r="C67" s="90" t="inlineStr">
        <is>
          <t>Journey Together Booster Bundle</t>
        </is>
      </c>
      <c r="D67" s="89" t="inlineStr">
        <is>
          <t>Sealed</t>
        </is>
      </c>
      <c r="E67" s="89" t="inlineStr">
        <is>
          <t>Booster Pack Bundle</t>
        </is>
      </c>
      <c r="F67" s="89" t="inlineStr">
        <is>
          <t>eBay</t>
        </is>
      </c>
      <c r="G67" s="91" t="n">
        <v>22.73</v>
      </c>
      <c r="H67" s="91" t="n">
        <v>35.22</v>
      </c>
      <c r="I67" s="92">
        <f>H67-G67</f>
        <v/>
      </c>
      <c r="J67" s="93">
        <f>I67/H67</f>
        <v/>
      </c>
      <c r="K67" s="94" t="inlineStr">
        <is>
          <t>Profit</t>
        </is>
      </c>
    </row>
    <row r="68" ht="15" customHeight="1" s="64">
      <c r="A68" s="83" t="inlineStr">
        <is>
          <t>TXN-067</t>
        </is>
      </c>
      <c r="B68" s="84" t="inlineStr">
        <is>
          <t>Jul 10, 2025</t>
        </is>
      </c>
      <c r="C68" s="84" t="inlineStr">
        <is>
          <t>Scarlet &amp; Violet 151 Booster Bundle</t>
        </is>
      </c>
      <c r="D68" s="83" t="inlineStr">
        <is>
          <t>Sealed</t>
        </is>
      </c>
      <c r="E68" s="83" t="inlineStr">
        <is>
          <t>Booster Pack Bundle</t>
        </is>
      </c>
      <c r="F68" s="83" t="inlineStr">
        <is>
          <t>eBay</t>
        </is>
      </c>
      <c r="G68" s="85" t="n">
        <v>38.7</v>
      </c>
      <c r="H68" s="85" t="n">
        <v>51.21</v>
      </c>
      <c r="I68" s="86">
        <f>H68-G68</f>
        <v/>
      </c>
      <c r="J68" s="87">
        <f>I68/H68</f>
        <v/>
      </c>
      <c r="K68" s="88" t="inlineStr">
        <is>
          <t>Profit</t>
        </is>
      </c>
    </row>
    <row r="69" ht="15" customHeight="1" s="64">
      <c r="A69" s="89" t="inlineStr">
        <is>
          <t>TXN-068</t>
        </is>
      </c>
      <c r="B69" s="90" t="inlineStr">
        <is>
          <t>Jul 11, 2025</t>
        </is>
      </c>
      <c r="C69" s="90" t="inlineStr">
        <is>
          <t>Shrouded Fable Booster Bundle</t>
        </is>
      </c>
      <c r="D69" s="89" t="inlineStr">
        <is>
          <t>Sealed</t>
        </is>
      </c>
      <c r="E69" s="89" t="inlineStr">
        <is>
          <t>Booster Pack Bundle</t>
        </is>
      </c>
      <c r="F69" s="89" t="inlineStr">
        <is>
          <t>TCGPlayer</t>
        </is>
      </c>
      <c r="G69" s="91" t="n">
        <v>25.1</v>
      </c>
      <c r="H69" s="91" t="n">
        <v>33.04</v>
      </c>
      <c r="I69" s="92">
        <f>H69-G69</f>
        <v/>
      </c>
      <c r="J69" s="93">
        <f>I69/H69</f>
        <v/>
      </c>
      <c r="K69" s="94" t="inlineStr">
        <is>
          <t>Profit</t>
        </is>
      </c>
    </row>
    <row r="70" ht="15" customHeight="1" s="64">
      <c r="A70" s="83" t="inlineStr">
        <is>
          <t>TXN-069</t>
        </is>
      </c>
      <c r="B70" s="84" t="inlineStr">
        <is>
          <t>Jul 12, 2025</t>
        </is>
      </c>
      <c r="C70" s="84" t="inlineStr">
        <is>
          <t>Stellar Crown Elite Trainer Box</t>
        </is>
      </c>
      <c r="D70" s="83" t="inlineStr">
        <is>
          <t>Sealed</t>
        </is>
      </c>
      <c r="E70" s="83" t="inlineStr">
        <is>
          <t>ETB</t>
        </is>
      </c>
      <c r="F70" s="83" t="inlineStr">
        <is>
          <t>TCGPlayer</t>
        </is>
      </c>
      <c r="G70" s="85" t="n">
        <v>62.26</v>
      </c>
      <c r="H70" s="85" t="n">
        <v>89.84999999999999</v>
      </c>
      <c r="I70" s="86">
        <f>H70-G70</f>
        <v/>
      </c>
      <c r="J70" s="87">
        <f>I70/H70</f>
        <v/>
      </c>
      <c r="K70" s="88" t="inlineStr">
        <is>
          <t>Profit</t>
        </is>
      </c>
    </row>
    <row r="71" ht="15" customHeight="1" s="64">
      <c r="A71" s="95" t="inlineStr">
        <is>
          <t>TXN-070</t>
        </is>
      </c>
      <c r="B71" s="96" t="inlineStr">
        <is>
          <t>Jul 12, 2025</t>
        </is>
      </c>
      <c r="C71" s="96" t="inlineStr">
        <is>
          <t>Surging Sparks Booster Bundle</t>
        </is>
      </c>
      <c r="D71" s="95" t="inlineStr">
        <is>
          <t>Sealed</t>
        </is>
      </c>
      <c r="E71" s="95" t="inlineStr">
        <is>
          <t>Booster Pack Bundle</t>
        </is>
      </c>
      <c r="F71" s="95" t="inlineStr">
        <is>
          <t>eBay</t>
        </is>
      </c>
      <c r="G71" s="97" t="n">
        <v>25.65</v>
      </c>
      <c r="H71" s="97" t="n">
        <v>22.86</v>
      </c>
      <c r="I71" s="98">
        <f>H71-G71</f>
        <v/>
      </c>
      <c r="J71" s="99">
        <f>I71/H71</f>
        <v/>
      </c>
      <c r="K71" s="100" t="inlineStr">
        <is>
          <t>Loss</t>
        </is>
      </c>
    </row>
    <row r="72" ht="15" customHeight="1" s="64">
      <c r="A72" s="83" t="inlineStr">
        <is>
          <t>TXN-071</t>
        </is>
      </c>
      <c r="B72" s="84" t="inlineStr">
        <is>
          <t>Jul 12, 2025</t>
        </is>
      </c>
      <c r="C72" s="84" t="inlineStr">
        <is>
          <t>Destined Rivals Elite Trainer Box</t>
        </is>
      </c>
      <c r="D72" s="83" t="inlineStr">
        <is>
          <t>Sealed</t>
        </is>
      </c>
      <c r="E72" s="83" t="inlineStr">
        <is>
          <t>ETB</t>
        </is>
      </c>
      <c r="F72" s="83" t="inlineStr">
        <is>
          <t>eBay</t>
        </is>
      </c>
      <c r="G72" s="85" t="n">
        <v>75.2</v>
      </c>
      <c r="H72" s="85" t="n">
        <v>82.56999999999999</v>
      </c>
      <c r="I72" s="86">
        <f>H72-G72</f>
        <v/>
      </c>
      <c r="J72" s="87">
        <f>I72/H72</f>
        <v/>
      </c>
      <c r="K72" s="88" t="inlineStr">
        <is>
          <t>Profit</t>
        </is>
      </c>
    </row>
    <row r="73" ht="15" customHeight="1" s="64">
      <c r="A73" s="89" t="inlineStr">
        <is>
          <t>TXN-072</t>
        </is>
      </c>
      <c r="B73" s="90" t="inlineStr">
        <is>
          <t>Jul 13, 2025</t>
        </is>
      </c>
      <c r="C73" s="90" t="inlineStr">
        <is>
          <t>Surging Sparks Booster Bundle</t>
        </is>
      </c>
      <c r="D73" s="89" t="inlineStr">
        <is>
          <t>Sealed</t>
        </is>
      </c>
      <c r="E73" s="89" t="inlineStr">
        <is>
          <t>Booster Pack Bundle</t>
        </is>
      </c>
      <c r="F73" s="89" t="inlineStr">
        <is>
          <t>TCGPlayer</t>
        </is>
      </c>
      <c r="G73" s="91" t="n">
        <v>23.42</v>
      </c>
      <c r="H73" s="91" t="n">
        <v>31.65</v>
      </c>
      <c r="I73" s="92">
        <f>H73-G73</f>
        <v/>
      </c>
      <c r="J73" s="93">
        <f>I73/H73</f>
        <v/>
      </c>
      <c r="K73" s="94" t="inlineStr">
        <is>
          <t>Profit</t>
        </is>
      </c>
    </row>
    <row r="74" ht="15" customHeight="1" s="64">
      <c r="A74" s="83" t="inlineStr">
        <is>
          <t>TXN-073</t>
        </is>
      </c>
      <c r="B74" s="84" t="inlineStr">
        <is>
          <t>Jul 13, 2025</t>
        </is>
      </c>
      <c r="C74" s="84" t="inlineStr">
        <is>
          <t>Surging Sparks Booster Bundle</t>
        </is>
      </c>
      <c r="D74" s="83" t="inlineStr">
        <is>
          <t>Sealed</t>
        </is>
      </c>
      <c r="E74" s="83" t="inlineStr">
        <is>
          <t>Booster Pack Bundle</t>
        </is>
      </c>
      <c r="F74" s="83" t="inlineStr">
        <is>
          <t>TCGPlayer</t>
        </is>
      </c>
      <c r="G74" s="85" t="n">
        <v>28.5</v>
      </c>
      <c r="H74" s="85" t="n">
        <v>38.17</v>
      </c>
      <c r="I74" s="86">
        <f>H74-G74</f>
        <v/>
      </c>
      <c r="J74" s="87">
        <f>I74/H74</f>
        <v/>
      </c>
      <c r="K74" s="88" t="inlineStr">
        <is>
          <t>Profit</t>
        </is>
      </c>
    </row>
    <row r="75" ht="15" customHeight="1" s="64">
      <c r="A75" s="89" t="inlineStr">
        <is>
          <t>TXN-074</t>
        </is>
      </c>
      <c r="B75" s="90" t="inlineStr">
        <is>
          <t>Jul 14, 2025</t>
        </is>
      </c>
      <c r="C75" s="90" t="inlineStr">
        <is>
          <t>Scarlet &amp; Violet 151 Booster Bundle</t>
        </is>
      </c>
      <c r="D75" s="89" t="inlineStr">
        <is>
          <t>Sealed</t>
        </is>
      </c>
      <c r="E75" s="89" t="inlineStr">
        <is>
          <t>Booster Pack Bundle</t>
        </is>
      </c>
      <c r="F75" s="89" t="inlineStr">
        <is>
          <t>TCGPlayer</t>
        </is>
      </c>
      <c r="G75" s="91" t="n">
        <v>40.58</v>
      </c>
      <c r="H75" s="91" t="n">
        <v>53.16</v>
      </c>
      <c r="I75" s="92">
        <f>H75-G75</f>
        <v/>
      </c>
      <c r="J75" s="93">
        <f>I75/H75</f>
        <v/>
      </c>
      <c r="K75" s="94" t="inlineStr">
        <is>
          <t>Profit</t>
        </is>
      </c>
    </row>
    <row r="76" ht="15" customHeight="1" s="64">
      <c r="A76" s="83" t="inlineStr">
        <is>
          <t>TXN-075</t>
        </is>
      </c>
      <c r="B76" s="84" t="inlineStr">
        <is>
          <t>Jul 14, 2025</t>
        </is>
      </c>
      <c r="C76" s="84" t="inlineStr">
        <is>
          <t>Scarlet &amp; Violet 151 Booster Bundle</t>
        </is>
      </c>
      <c r="D76" s="83" t="inlineStr">
        <is>
          <t>Sealed</t>
        </is>
      </c>
      <c r="E76" s="83" t="inlineStr">
        <is>
          <t>Booster Pack Bundle</t>
        </is>
      </c>
      <c r="F76" s="83" t="inlineStr">
        <is>
          <t>TCGPlayer</t>
        </is>
      </c>
      <c r="G76" s="85" t="n">
        <v>41.2</v>
      </c>
      <c r="H76" s="85" t="n">
        <v>45.63</v>
      </c>
      <c r="I76" s="86">
        <f>H76-G76</f>
        <v/>
      </c>
      <c r="J76" s="87">
        <f>I76/H76</f>
        <v/>
      </c>
      <c r="K76" s="88" t="inlineStr">
        <is>
          <t>Profit</t>
        </is>
      </c>
    </row>
    <row r="77" ht="15" customHeight="1" s="64">
      <c r="A77" s="89" t="inlineStr">
        <is>
          <t>TXN-076</t>
        </is>
      </c>
      <c r="B77" s="90" t="inlineStr">
        <is>
          <t>Jul 15, 2025</t>
        </is>
      </c>
      <c r="C77" s="90" t="inlineStr">
        <is>
          <t>Black Bolt Elite Trainer Box</t>
        </is>
      </c>
      <c r="D77" s="89" t="inlineStr">
        <is>
          <t>Sealed</t>
        </is>
      </c>
      <c r="E77" s="89" t="inlineStr">
        <is>
          <t>ETB</t>
        </is>
      </c>
      <c r="F77" s="89" t="inlineStr">
        <is>
          <t>eBay</t>
        </is>
      </c>
      <c r="G77" s="91" t="n">
        <v>85.52</v>
      </c>
      <c r="H77" s="91" t="n">
        <v>94.76000000000001</v>
      </c>
      <c r="I77" s="92">
        <f>H77-G77</f>
        <v/>
      </c>
      <c r="J77" s="93">
        <f>I77/H77</f>
        <v/>
      </c>
      <c r="K77" s="94" t="inlineStr">
        <is>
          <t>Profit</t>
        </is>
      </c>
    </row>
    <row r="78" ht="15" customHeight="1" s="64">
      <c r="A78" s="83" t="inlineStr">
        <is>
          <t>TXN-077</t>
        </is>
      </c>
      <c r="B78" s="84" t="inlineStr">
        <is>
          <t>Jul 15, 2025</t>
        </is>
      </c>
      <c r="C78" s="84" t="inlineStr">
        <is>
          <t>Journey Together Booster Bundle</t>
        </is>
      </c>
      <c r="D78" s="83" t="inlineStr">
        <is>
          <t>Sealed</t>
        </is>
      </c>
      <c r="E78" s="83" t="inlineStr">
        <is>
          <t>Booster Pack Bundle</t>
        </is>
      </c>
      <c r="F78" s="83" t="inlineStr">
        <is>
          <t>eBay</t>
        </is>
      </c>
      <c r="G78" s="85" t="n">
        <v>21.21</v>
      </c>
      <c r="H78" s="85" t="n">
        <v>26.44</v>
      </c>
      <c r="I78" s="86">
        <f>H78-G78</f>
        <v/>
      </c>
      <c r="J78" s="87">
        <f>I78/H78</f>
        <v/>
      </c>
      <c r="K78" s="88" t="inlineStr">
        <is>
          <t>Profit</t>
        </is>
      </c>
    </row>
    <row r="79" ht="15" customHeight="1" s="64">
      <c r="A79" s="89" t="inlineStr">
        <is>
          <t>TXN-078</t>
        </is>
      </c>
      <c r="B79" s="90" t="inlineStr">
        <is>
          <t>Jul 15, 2025</t>
        </is>
      </c>
      <c r="C79" s="90" t="inlineStr">
        <is>
          <t>Stellar Crown Elite Trainer Box</t>
        </is>
      </c>
      <c r="D79" s="89" t="inlineStr">
        <is>
          <t>Sealed</t>
        </is>
      </c>
      <c r="E79" s="89" t="inlineStr">
        <is>
          <t>ETB</t>
        </is>
      </c>
      <c r="F79" s="89" t="inlineStr">
        <is>
          <t>eBay</t>
        </is>
      </c>
      <c r="G79" s="91" t="n">
        <v>52.44</v>
      </c>
      <c r="H79" s="91" t="n">
        <v>75.31999999999999</v>
      </c>
      <c r="I79" s="92">
        <f>H79-G79</f>
        <v/>
      </c>
      <c r="J79" s="93">
        <f>I79/H79</f>
        <v/>
      </c>
      <c r="K79" s="94" t="inlineStr">
        <is>
          <t>Profit</t>
        </is>
      </c>
    </row>
    <row r="80" ht="15" customHeight="1" s="64">
      <c r="A80" s="83" t="inlineStr">
        <is>
          <t>TXN-079</t>
        </is>
      </c>
      <c r="B80" s="84" t="inlineStr">
        <is>
          <t>Jul 17, 2025</t>
        </is>
      </c>
      <c r="C80" s="84" t="inlineStr">
        <is>
          <t>Crown Zenith Tin</t>
        </is>
      </c>
      <c r="D80" s="83" t="inlineStr">
        <is>
          <t>Sealed</t>
        </is>
      </c>
      <c r="E80" s="83" t="inlineStr">
        <is>
          <t>Special Products</t>
        </is>
      </c>
      <c r="F80" s="83" t="inlineStr">
        <is>
          <t>eBay</t>
        </is>
      </c>
      <c r="G80" s="85" t="n">
        <v>23.11</v>
      </c>
      <c r="H80" s="85" t="n">
        <v>40.71</v>
      </c>
      <c r="I80" s="86">
        <f>H80-G80</f>
        <v/>
      </c>
      <c r="J80" s="87">
        <f>I80/H80</f>
        <v/>
      </c>
      <c r="K80" s="88" t="inlineStr">
        <is>
          <t>Profit</t>
        </is>
      </c>
    </row>
    <row r="81" ht="15" customHeight="1" s="64">
      <c r="A81" s="89" t="inlineStr">
        <is>
          <t>TXN-080</t>
        </is>
      </c>
      <c r="B81" s="90" t="inlineStr">
        <is>
          <t>Jul 17, 2025</t>
        </is>
      </c>
      <c r="C81" s="90" t="inlineStr">
        <is>
          <t>Black Bolt Elite Trainer Box</t>
        </is>
      </c>
      <c r="D81" s="89" t="inlineStr">
        <is>
          <t>Sealed</t>
        </is>
      </c>
      <c r="E81" s="89" t="inlineStr">
        <is>
          <t>ETB</t>
        </is>
      </c>
      <c r="F81" s="89" t="inlineStr">
        <is>
          <t>eBay</t>
        </is>
      </c>
      <c r="G81" s="91" t="n">
        <v>77.65000000000001</v>
      </c>
      <c r="H81" s="91" t="n">
        <v>115.96</v>
      </c>
      <c r="I81" s="92">
        <f>H81-G81</f>
        <v/>
      </c>
      <c r="J81" s="93">
        <f>I81/H81</f>
        <v/>
      </c>
      <c r="K81" s="94" t="inlineStr">
        <is>
          <t>Profit</t>
        </is>
      </c>
    </row>
    <row r="82" ht="15" customHeight="1" s="64">
      <c r="A82" s="83" t="inlineStr">
        <is>
          <t>TXN-081</t>
        </is>
      </c>
      <c r="B82" s="84" t="inlineStr">
        <is>
          <t>Jul 17, 2025</t>
        </is>
      </c>
      <c r="C82" s="84" t="inlineStr">
        <is>
          <t>White Flare Elite Trainer Box</t>
        </is>
      </c>
      <c r="D82" s="83" t="inlineStr">
        <is>
          <t>Sealed</t>
        </is>
      </c>
      <c r="E82" s="83" t="inlineStr">
        <is>
          <t>ETB</t>
        </is>
      </c>
      <c r="F82" s="83" t="inlineStr">
        <is>
          <t>eBay</t>
        </is>
      </c>
      <c r="G82" s="85" t="n">
        <v>112.23</v>
      </c>
      <c r="H82" s="85" t="n">
        <v>140.7</v>
      </c>
      <c r="I82" s="86">
        <f>H82-G82</f>
        <v/>
      </c>
      <c r="J82" s="87">
        <f>I82/H82</f>
        <v/>
      </c>
      <c r="K82" s="88" t="inlineStr">
        <is>
          <t>Profit</t>
        </is>
      </c>
    </row>
    <row r="83" ht="15" customHeight="1" s="64">
      <c r="A83" s="89" t="inlineStr">
        <is>
          <t>TXN-082</t>
        </is>
      </c>
      <c r="B83" s="90" t="inlineStr">
        <is>
          <t>Jul 17, 2025</t>
        </is>
      </c>
      <c r="C83" s="90" t="inlineStr">
        <is>
          <t>Shrouded Fable Booster Bundle</t>
        </is>
      </c>
      <c r="D83" s="89" t="inlineStr">
        <is>
          <t>Sealed</t>
        </is>
      </c>
      <c r="E83" s="89" t="inlineStr">
        <is>
          <t>Booster Pack Bundle</t>
        </is>
      </c>
      <c r="F83" s="89" t="inlineStr">
        <is>
          <t>Facebook Marketplace</t>
        </is>
      </c>
      <c r="G83" s="91" t="n">
        <v>18.07</v>
      </c>
      <c r="H83" s="91" t="n">
        <v>33.17</v>
      </c>
      <c r="I83" s="92">
        <f>H83-G83</f>
        <v/>
      </c>
      <c r="J83" s="93">
        <f>I83/H83</f>
        <v/>
      </c>
      <c r="K83" s="94" t="inlineStr">
        <is>
          <t>Profit</t>
        </is>
      </c>
    </row>
    <row r="84" ht="15" customHeight="1" s="64">
      <c r="A84" s="83" t="inlineStr">
        <is>
          <t>TXN-083</t>
        </is>
      </c>
      <c r="B84" s="84" t="inlineStr">
        <is>
          <t>Jul 17, 2025</t>
        </is>
      </c>
      <c r="C84" s="84" t="inlineStr">
        <is>
          <t>Surging Sparks Booster Bundle</t>
        </is>
      </c>
      <c r="D84" s="83" t="inlineStr">
        <is>
          <t>Sealed</t>
        </is>
      </c>
      <c r="E84" s="83" t="inlineStr">
        <is>
          <t>Booster Pack Bundle</t>
        </is>
      </c>
      <c r="F84" s="83" t="inlineStr">
        <is>
          <t>TCGPlayer</t>
        </is>
      </c>
      <c r="G84" s="85" t="n">
        <v>26.48</v>
      </c>
      <c r="H84" s="85" t="n">
        <v>36.5</v>
      </c>
      <c r="I84" s="86">
        <f>H84-G84</f>
        <v/>
      </c>
      <c r="J84" s="87">
        <f>I84/H84</f>
        <v/>
      </c>
      <c r="K84" s="88" t="inlineStr">
        <is>
          <t>Profit</t>
        </is>
      </c>
    </row>
    <row r="85" ht="15" customHeight="1" s="64">
      <c r="A85" s="89" t="inlineStr">
        <is>
          <t>TXN-084</t>
        </is>
      </c>
      <c r="B85" s="90" t="inlineStr">
        <is>
          <t>Jul 18, 2025</t>
        </is>
      </c>
      <c r="C85" s="90" t="inlineStr">
        <is>
          <t>Prismatic Evolutions Booster Bundle</t>
        </is>
      </c>
      <c r="D85" s="89" t="inlineStr">
        <is>
          <t>Sealed</t>
        </is>
      </c>
      <c r="E85" s="89" t="inlineStr">
        <is>
          <t>Booster Pack Bundle</t>
        </is>
      </c>
      <c r="F85" s="89" t="inlineStr">
        <is>
          <t>eBay</t>
        </is>
      </c>
      <c r="G85" s="91" t="n">
        <v>46.47</v>
      </c>
      <c r="H85" s="91" t="n">
        <v>70.93000000000001</v>
      </c>
      <c r="I85" s="92">
        <f>H85-G85</f>
        <v/>
      </c>
      <c r="J85" s="93">
        <f>I85/H85</f>
        <v/>
      </c>
      <c r="K85" s="94" t="inlineStr">
        <is>
          <t>Profit</t>
        </is>
      </c>
    </row>
    <row r="86" ht="15" customHeight="1" s="64">
      <c r="A86" s="83" t="inlineStr">
        <is>
          <t>TXN-085</t>
        </is>
      </c>
      <c r="B86" s="84" t="inlineStr">
        <is>
          <t>Jul 19, 2025</t>
        </is>
      </c>
      <c r="C86" s="84" t="inlineStr">
        <is>
          <t>Prismatic Evolutions Special Collection</t>
        </is>
      </c>
      <c r="D86" s="83" t="inlineStr">
        <is>
          <t>Sealed</t>
        </is>
      </c>
      <c r="E86" s="83" t="inlineStr">
        <is>
          <t>Special Products</t>
        </is>
      </c>
      <c r="F86" s="83" t="inlineStr">
        <is>
          <t>Facebook Marketplace</t>
        </is>
      </c>
      <c r="G86" s="85" t="n">
        <v>66.23</v>
      </c>
      <c r="H86" s="85" t="n">
        <v>117.98</v>
      </c>
      <c r="I86" s="86">
        <f>H86-G86</f>
        <v/>
      </c>
      <c r="J86" s="87">
        <f>I86/H86</f>
        <v/>
      </c>
      <c r="K86" s="88" t="inlineStr">
        <is>
          <t>Profit</t>
        </is>
      </c>
    </row>
    <row r="87" ht="15" customHeight="1" s="64">
      <c r="A87" s="89" t="inlineStr">
        <is>
          <t>TXN-086</t>
        </is>
      </c>
      <c r="B87" s="90" t="inlineStr">
        <is>
          <t>Jul 19, 2025</t>
        </is>
      </c>
      <c r="C87" s="90" t="inlineStr">
        <is>
          <t>Journey Together Booster Bundle</t>
        </is>
      </c>
      <c r="D87" s="89" t="inlineStr">
        <is>
          <t>Sealed</t>
        </is>
      </c>
      <c r="E87" s="89" t="inlineStr">
        <is>
          <t>Booster Pack Bundle</t>
        </is>
      </c>
      <c r="F87" s="89" t="inlineStr">
        <is>
          <t>eBay</t>
        </is>
      </c>
      <c r="G87" s="91" t="n">
        <v>22.19</v>
      </c>
      <c r="H87" s="91" t="n">
        <v>35.19</v>
      </c>
      <c r="I87" s="92">
        <f>H87-G87</f>
        <v/>
      </c>
      <c r="J87" s="93">
        <f>I87/H87</f>
        <v/>
      </c>
      <c r="K87" s="94" t="inlineStr">
        <is>
          <t>Profit</t>
        </is>
      </c>
    </row>
    <row r="88" ht="15" customHeight="1" s="64">
      <c r="A88" s="83" t="inlineStr">
        <is>
          <t>TXN-087</t>
        </is>
      </c>
      <c r="B88" s="84" t="inlineStr">
        <is>
          <t>Jul 19, 2025</t>
        </is>
      </c>
      <c r="C88" s="84" t="inlineStr">
        <is>
          <t>Blooming Waters Collection</t>
        </is>
      </c>
      <c r="D88" s="83" t="inlineStr">
        <is>
          <t>Sealed</t>
        </is>
      </c>
      <c r="E88" s="83" t="inlineStr">
        <is>
          <t>Special Products</t>
        </is>
      </c>
      <c r="F88" s="83" t="inlineStr">
        <is>
          <t>Facebook Marketplace</t>
        </is>
      </c>
      <c r="G88" s="85" t="n">
        <v>26.27</v>
      </c>
      <c r="H88" s="85" t="n">
        <v>31.91</v>
      </c>
      <c r="I88" s="86">
        <f>H88-G88</f>
        <v/>
      </c>
      <c r="J88" s="87">
        <f>I88/H88</f>
        <v/>
      </c>
      <c r="K88" s="88" t="inlineStr">
        <is>
          <t>Profit</t>
        </is>
      </c>
    </row>
    <row r="89" ht="15" customHeight="1" s="64">
      <c r="A89" s="89" t="inlineStr">
        <is>
          <t>TXN-088</t>
        </is>
      </c>
      <c r="B89" s="90" t="inlineStr">
        <is>
          <t>Jul 20, 2025</t>
        </is>
      </c>
      <c r="C89" s="90" t="inlineStr">
        <is>
          <t>Stellar Crown Elite Trainer Box</t>
        </is>
      </c>
      <c r="D89" s="89" t="inlineStr">
        <is>
          <t>Sealed</t>
        </is>
      </c>
      <c r="E89" s="89" t="inlineStr">
        <is>
          <t>ETB</t>
        </is>
      </c>
      <c r="F89" s="89" t="inlineStr">
        <is>
          <t>eBay</t>
        </is>
      </c>
      <c r="G89" s="91" t="n">
        <v>66.73</v>
      </c>
      <c r="H89" s="91" t="n">
        <v>79.53</v>
      </c>
      <c r="I89" s="92">
        <f>H89-G89</f>
        <v/>
      </c>
      <c r="J89" s="93">
        <f>I89/H89</f>
        <v/>
      </c>
      <c r="K89" s="94" t="inlineStr">
        <is>
          <t>Profit</t>
        </is>
      </c>
    </row>
    <row r="90" ht="15" customHeight="1" s="64">
      <c r="A90" s="83" t="inlineStr">
        <is>
          <t>TXN-089</t>
        </is>
      </c>
      <c r="B90" s="84" t="inlineStr">
        <is>
          <t>Jul 20, 2025</t>
        </is>
      </c>
      <c r="C90" s="84" t="inlineStr">
        <is>
          <t>Surging Sparks Booster Bundle</t>
        </is>
      </c>
      <c r="D90" s="83" t="inlineStr">
        <is>
          <t>Sealed</t>
        </is>
      </c>
      <c r="E90" s="83" t="inlineStr">
        <is>
          <t>Booster Pack Bundle</t>
        </is>
      </c>
      <c r="F90" s="83" t="inlineStr">
        <is>
          <t>eBay</t>
        </is>
      </c>
      <c r="G90" s="85" t="n">
        <v>24.56</v>
      </c>
      <c r="H90" s="85" t="n">
        <v>37.03</v>
      </c>
      <c r="I90" s="86">
        <f>H90-G90</f>
        <v/>
      </c>
      <c r="J90" s="87">
        <f>I90/H90</f>
        <v/>
      </c>
      <c r="K90" s="88" t="inlineStr">
        <is>
          <t>Profit</t>
        </is>
      </c>
    </row>
    <row r="91" ht="15" customHeight="1" s="64">
      <c r="A91" s="95" t="inlineStr">
        <is>
          <t>TXN-090</t>
        </is>
      </c>
      <c r="B91" s="96" t="inlineStr">
        <is>
          <t>Jul 20, 2025</t>
        </is>
      </c>
      <c r="C91" s="96" t="inlineStr">
        <is>
          <t>Prismatic Evolutions Elite Trainer Box</t>
        </is>
      </c>
      <c r="D91" s="95" t="inlineStr">
        <is>
          <t>Sealed</t>
        </is>
      </c>
      <c r="E91" s="95" t="inlineStr">
        <is>
          <t>ETB</t>
        </is>
      </c>
      <c r="F91" s="95" t="inlineStr">
        <is>
          <t>eBay</t>
        </is>
      </c>
      <c r="G91" s="97" t="n">
        <v>52.01</v>
      </c>
      <c r="H91" s="97" t="n">
        <v>49.6</v>
      </c>
      <c r="I91" s="98">
        <f>H91-G91</f>
        <v/>
      </c>
      <c r="J91" s="99">
        <f>I91/H91</f>
        <v/>
      </c>
      <c r="K91" s="100" t="inlineStr">
        <is>
          <t>Loss</t>
        </is>
      </c>
    </row>
    <row r="92" ht="15" customHeight="1" s="64">
      <c r="A92" s="83" t="inlineStr">
        <is>
          <t>TXN-091</t>
        </is>
      </c>
      <c r="B92" s="84" t="inlineStr">
        <is>
          <t>Jul 21, 2025</t>
        </is>
      </c>
      <c r="C92" s="84" t="inlineStr">
        <is>
          <t>Scarlet &amp; Violet 151 Booster Bundle</t>
        </is>
      </c>
      <c r="D92" s="83" t="inlineStr">
        <is>
          <t>Sealed</t>
        </is>
      </c>
      <c r="E92" s="83" t="inlineStr">
        <is>
          <t>Booster Pack Bundle</t>
        </is>
      </c>
      <c r="F92" s="83" t="inlineStr">
        <is>
          <t>eBay</t>
        </is>
      </c>
      <c r="G92" s="85" t="n">
        <v>34.25</v>
      </c>
      <c r="H92" s="85" t="n">
        <v>45.67</v>
      </c>
      <c r="I92" s="86">
        <f>H92-G92</f>
        <v/>
      </c>
      <c r="J92" s="87">
        <f>I92/H92</f>
        <v/>
      </c>
      <c r="K92" s="88" t="inlineStr">
        <is>
          <t>Profit</t>
        </is>
      </c>
    </row>
    <row r="93" ht="15" customHeight="1" s="64">
      <c r="A93" s="89" t="inlineStr">
        <is>
          <t>TXN-092</t>
        </is>
      </c>
      <c r="B93" s="90" t="inlineStr">
        <is>
          <t>Jul 22, 2025</t>
        </is>
      </c>
      <c r="C93" s="90" t="inlineStr">
        <is>
          <t>Destined Rivals Elite Trainer Box</t>
        </is>
      </c>
      <c r="D93" s="89" t="inlineStr">
        <is>
          <t>Sealed</t>
        </is>
      </c>
      <c r="E93" s="89" t="inlineStr">
        <is>
          <t>ETB</t>
        </is>
      </c>
      <c r="F93" s="89" t="inlineStr">
        <is>
          <t>TCGPlayer</t>
        </is>
      </c>
      <c r="G93" s="91" t="n">
        <v>58.95</v>
      </c>
      <c r="H93" s="91" t="n">
        <v>90.40000000000001</v>
      </c>
      <c r="I93" s="92">
        <f>H93-G93</f>
        <v/>
      </c>
      <c r="J93" s="93">
        <f>I93/H93</f>
        <v/>
      </c>
      <c r="K93" s="94" t="inlineStr">
        <is>
          <t>Profit</t>
        </is>
      </c>
    </row>
    <row r="94" ht="15" customHeight="1" s="64">
      <c r="A94" s="83" t="inlineStr">
        <is>
          <t>TXN-093</t>
        </is>
      </c>
      <c r="B94" s="84" t="inlineStr">
        <is>
          <t>Jul 22, 2025</t>
        </is>
      </c>
      <c r="C94" s="84" t="inlineStr">
        <is>
          <t>Prismatic Evolutions Booster Bundle</t>
        </is>
      </c>
      <c r="D94" s="83" t="inlineStr">
        <is>
          <t>Sealed</t>
        </is>
      </c>
      <c r="E94" s="83" t="inlineStr">
        <is>
          <t>Booster Pack Bundle</t>
        </is>
      </c>
      <c r="F94" s="83" t="inlineStr">
        <is>
          <t>TCGPlayer</t>
        </is>
      </c>
      <c r="G94" s="85" t="n">
        <v>60.08</v>
      </c>
      <c r="H94" s="85" t="n">
        <v>68.65000000000001</v>
      </c>
      <c r="I94" s="86">
        <f>H94-G94</f>
        <v/>
      </c>
      <c r="J94" s="87">
        <f>I94/H94</f>
        <v/>
      </c>
      <c r="K94" s="88" t="inlineStr">
        <is>
          <t>Profit</t>
        </is>
      </c>
    </row>
    <row r="95" ht="15" customHeight="1" s="64">
      <c r="A95" s="89" t="inlineStr">
        <is>
          <t>TXN-094</t>
        </is>
      </c>
      <c r="B95" s="90" t="inlineStr">
        <is>
          <t>Jul 25, 2025</t>
        </is>
      </c>
      <c r="C95" s="90" t="inlineStr">
        <is>
          <t>Crown Zenith Tin</t>
        </is>
      </c>
      <c r="D95" s="89" t="inlineStr">
        <is>
          <t>Sealed</t>
        </is>
      </c>
      <c r="E95" s="89" t="inlineStr">
        <is>
          <t>Special Products</t>
        </is>
      </c>
      <c r="F95" s="89" t="inlineStr">
        <is>
          <t>eBay</t>
        </is>
      </c>
      <c r="G95" s="91" t="n">
        <v>25.28</v>
      </c>
      <c r="H95" s="91" t="n">
        <v>41.85</v>
      </c>
      <c r="I95" s="92">
        <f>H95-G95</f>
        <v/>
      </c>
      <c r="J95" s="93">
        <f>I95/H95</f>
        <v/>
      </c>
      <c r="K95" s="94" t="inlineStr">
        <is>
          <t>Profit</t>
        </is>
      </c>
    </row>
    <row r="96" ht="15" customHeight="1" s="64">
      <c r="A96" s="83" t="inlineStr">
        <is>
          <t>TXN-095</t>
        </is>
      </c>
      <c r="B96" s="84" t="inlineStr">
        <is>
          <t>Jul 27, 2025</t>
        </is>
      </c>
      <c r="C96" s="84" t="inlineStr">
        <is>
          <t>Prismatic Evolutions Booster Bundle</t>
        </is>
      </c>
      <c r="D96" s="83" t="inlineStr">
        <is>
          <t>Sealed</t>
        </is>
      </c>
      <c r="E96" s="83" t="inlineStr">
        <is>
          <t>Booster Pack Bundle</t>
        </is>
      </c>
      <c r="F96" s="83" t="inlineStr">
        <is>
          <t>Facebook Marketplace</t>
        </is>
      </c>
      <c r="G96" s="85" t="n">
        <v>56.67</v>
      </c>
      <c r="H96" s="85" t="n">
        <v>69.87</v>
      </c>
      <c r="I96" s="86">
        <f>H96-G96</f>
        <v/>
      </c>
      <c r="J96" s="87">
        <f>I96/H96</f>
        <v/>
      </c>
      <c r="K96" s="88" t="inlineStr">
        <is>
          <t>Profit</t>
        </is>
      </c>
    </row>
    <row r="97" ht="15" customHeight="1" s="64">
      <c r="A97" s="89" t="inlineStr">
        <is>
          <t>TXN-096</t>
        </is>
      </c>
      <c r="B97" s="90" t="inlineStr">
        <is>
          <t>Jul 28, 2025</t>
        </is>
      </c>
      <c r="C97" s="90" t="inlineStr">
        <is>
          <t>Shrouded Fable Booster Bundle</t>
        </is>
      </c>
      <c r="D97" s="89" t="inlineStr">
        <is>
          <t>Sealed</t>
        </is>
      </c>
      <c r="E97" s="89" t="inlineStr">
        <is>
          <t>Booster Pack Bundle</t>
        </is>
      </c>
      <c r="F97" s="89" t="inlineStr">
        <is>
          <t>TCGPlayer</t>
        </is>
      </c>
      <c r="G97" s="91" t="n">
        <v>24.89</v>
      </c>
      <c r="H97" s="91" t="n">
        <v>26.91</v>
      </c>
      <c r="I97" s="92">
        <f>H97-G97</f>
        <v/>
      </c>
      <c r="J97" s="93">
        <f>I97/H97</f>
        <v/>
      </c>
      <c r="K97" s="94" t="inlineStr">
        <is>
          <t>Profit</t>
        </is>
      </c>
    </row>
    <row r="98" ht="15" customHeight="1" s="64">
      <c r="A98" s="83" t="inlineStr">
        <is>
          <t>TXN-097</t>
        </is>
      </c>
      <c r="B98" s="84" t="inlineStr">
        <is>
          <t>Jul 28, 2025</t>
        </is>
      </c>
      <c r="C98" s="84" t="inlineStr">
        <is>
          <t>Black Bolt Elite Trainer Box</t>
        </is>
      </c>
      <c r="D98" s="83" t="inlineStr">
        <is>
          <t>Sealed</t>
        </is>
      </c>
      <c r="E98" s="83" t="inlineStr">
        <is>
          <t>ETB</t>
        </is>
      </c>
      <c r="F98" s="83" t="inlineStr">
        <is>
          <t>Facebook Marketplace</t>
        </is>
      </c>
      <c r="G98" s="85" t="n">
        <v>87</v>
      </c>
      <c r="H98" s="85" t="n">
        <v>133.34</v>
      </c>
      <c r="I98" s="86">
        <f>H98-G98</f>
        <v/>
      </c>
      <c r="J98" s="87">
        <f>I98/H98</f>
        <v/>
      </c>
      <c r="K98" s="88" t="inlineStr">
        <is>
          <t>Profit</t>
        </is>
      </c>
    </row>
    <row r="99" ht="15" customHeight="1" s="64">
      <c r="A99" s="89" t="inlineStr">
        <is>
          <t>TXN-098</t>
        </is>
      </c>
      <c r="B99" s="90" t="inlineStr">
        <is>
          <t>Jul 28, 2025</t>
        </is>
      </c>
      <c r="C99" s="90" t="inlineStr">
        <is>
          <t>Prismatic Evolutions Booster Bundle</t>
        </is>
      </c>
      <c r="D99" s="89" t="inlineStr">
        <is>
          <t>Sealed</t>
        </is>
      </c>
      <c r="E99" s="89" t="inlineStr">
        <is>
          <t>Booster Pack Bundle</t>
        </is>
      </c>
      <c r="F99" s="89" t="inlineStr">
        <is>
          <t>eBay</t>
        </is>
      </c>
      <c r="G99" s="91" t="n">
        <v>49.89</v>
      </c>
      <c r="H99" s="91" t="n">
        <v>64.56999999999999</v>
      </c>
      <c r="I99" s="92">
        <f>H99-G99</f>
        <v/>
      </c>
      <c r="J99" s="93">
        <f>I99/H99</f>
        <v/>
      </c>
      <c r="K99" s="94" t="inlineStr">
        <is>
          <t>Profit</t>
        </is>
      </c>
    </row>
    <row r="100" ht="15" customHeight="1" s="64">
      <c r="A100" s="83" t="inlineStr">
        <is>
          <t>TXN-099</t>
        </is>
      </c>
      <c r="B100" s="84" t="inlineStr">
        <is>
          <t>Jul 29, 2025</t>
        </is>
      </c>
      <c r="C100" s="84" t="inlineStr">
        <is>
          <t>Black Bolt Elite Trainer Box</t>
        </is>
      </c>
      <c r="D100" s="83" t="inlineStr">
        <is>
          <t>Sealed</t>
        </is>
      </c>
      <c r="E100" s="83" t="inlineStr">
        <is>
          <t>ETB</t>
        </is>
      </c>
      <c r="F100" s="83" t="inlineStr">
        <is>
          <t>eBay</t>
        </is>
      </c>
      <c r="G100" s="85" t="n">
        <v>108.36</v>
      </c>
      <c r="H100" s="85" t="n">
        <v>141.13</v>
      </c>
      <c r="I100" s="86">
        <f>H100-G100</f>
        <v/>
      </c>
      <c r="J100" s="87">
        <f>I100/H100</f>
        <v/>
      </c>
      <c r="K100" s="88" t="inlineStr">
        <is>
          <t>Profit</t>
        </is>
      </c>
    </row>
    <row r="101" ht="15" customHeight="1" s="64">
      <c r="A101" s="89" t="inlineStr">
        <is>
          <t>TXN-100</t>
        </is>
      </c>
      <c r="B101" s="90" t="inlineStr">
        <is>
          <t>Jul 29, 2025</t>
        </is>
      </c>
      <c r="C101" s="90" t="inlineStr">
        <is>
          <t>Prismatic Evolutions Booster Bundle</t>
        </is>
      </c>
      <c r="D101" s="89" t="inlineStr">
        <is>
          <t>Sealed</t>
        </is>
      </c>
      <c r="E101" s="89" t="inlineStr">
        <is>
          <t>Booster Pack Bundle</t>
        </is>
      </c>
      <c r="F101" s="89" t="inlineStr">
        <is>
          <t>Facebook Marketplace</t>
        </is>
      </c>
      <c r="G101" s="91" t="n">
        <v>58.32</v>
      </c>
      <c r="H101" s="91" t="n">
        <v>71.20999999999999</v>
      </c>
      <c r="I101" s="92">
        <f>H101-G101</f>
        <v/>
      </c>
      <c r="J101" s="93">
        <f>I101/H101</f>
        <v/>
      </c>
      <c r="K101" s="94" t="inlineStr">
        <is>
          <t>Profit</t>
        </is>
      </c>
    </row>
    <row r="102" ht="15" customHeight="1" s="64">
      <c r="A102" s="83" t="inlineStr">
        <is>
          <t>TXN-101</t>
        </is>
      </c>
      <c r="B102" s="84" t="inlineStr">
        <is>
          <t>Jul 29, 2025</t>
        </is>
      </c>
      <c r="C102" s="84" t="inlineStr">
        <is>
          <t>Crown Zenith Tin</t>
        </is>
      </c>
      <c r="D102" s="83" t="inlineStr">
        <is>
          <t>Sealed</t>
        </is>
      </c>
      <c r="E102" s="83" t="inlineStr">
        <is>
          <t>Special Products</t>
        </is>
      </c>
      <c r="F102" s="83" t="inlineStr">
        <is>
          <t>eBay</t>
        </is>
      </c>
      <c r="G102" s="85" t="n">
        <v>23.15</v>
      </c>
      <c r="H102" s="85" t="n">
        <v>32.58</v>
      </c>
      <c r="I102" s="86">
        <f>H102-G102</f>
        <v/>
      </c>
      <c r="J102" s="87">
        <f>I102/H102</f>
        <v/>
      </c>
      <c r="K102" s="88" t="inlineStr">
        <is>
          <t>Profit</t>
        </is>
      </c>
    </row>
    <row r="103" ht="15" customHeight="1" s="64">
      <c r="A103" s="89" t="inlineStr">
        <is>
          <t>TXN-102</t>
        </is>
      </c>
      <c r="B103" s="90" t="inlineStr">
        <is>
          <t>Jul 29, 2025</t>
        </is>
      </c>
      <c r="C103" s="90" t="inlineStr">
        <is>
          <t>Stellar Crown Elite Trainer Box</t>
        </is>
      </c>
      <c r="D103" s="89" t="inlineStr">
        <is>
          <t>Sealed</t>
        </is>
      </c>
      <c r="E103" s="89" t="inlineStr">
        <is>
          <t>ETB</t>
        </is>
      </c>
      <c r="F103" s="89" t="inlineStr">
        <is>
          <t>eBay</t>
        </is>
      </c>
      <c r="G103" s="91" t="n">
        <v>53.11</v>
      </c>
      <c r="H103" s="91" t="n">
        <v>63.23</v>
      </c>
      <c r="I103" s="92">
        <f>H103-G103</f>
        <v/>
      </c>
      <c r="J103" s="93">
        <f>I103/H103</f>
        <v/>
      </c>
      <c r="K103" s="94" t="inlineStr">
        <is>
          <t>Profit</t>
        </is>
      </c>
    </row>
    <row r="104" ht="15" customHeight="1" s="64">
      <c r="A104" s="83" t="inlineStr">
        <is>
          <t>TXN-103</t>
        </is>
      </c>
      <c r="B104" s="84" t="inlineStr">
        <is>
          <t>Jul 30, 2025</t>
        </is>
      </c>
      <c r="C104" s="84" t="inlineStr">
        <is>
          <t>White Flare Elite Trainer Box</t>
        </is>
      </c>
      <c r="D104" s="83" t="inlineStr">
        <is>
          <t>Sealed</t>
        </is>
      </c>
      <c r="E104" s="83" t="inlineStr">
        <is>
          <t>ETB</t>
        </is>
      </c>
      <c r="F104" s="83" t="inlineStr">
        <is>
          <t>eBay</t>
        </is>
      </c>
      <c r="G104" s="85" t="n">
        <v>114.42</v>
      </c>
      <c r="H104" s="85" t="n">
        <v>145.62</v>
      </c>
      <c r="I104" s="86">
        <f>H104-G104</f>
        <v/>
      </c>
      <c r="J104" s="87">
        <f>I104/H104</f>
        <v/>
      </c>
      <c r="K104" s="88" t="inlineStr">
        <is>
          <t>Profit</t>
        </is>
      </c>
    </row>
    <row r="105" ht="15" customHeight="1" s="64">
      <c r="A105" s="89" t="inlineStr">
        <is>
          <t>TXN-104</t>
        </is>
      </c>
      <c r="B105" s="90" t="inlineStr">
        <is>
          <t>Jul 30, 2025</t>
        </is>
      </c>
      <c r="C105" s="90" t="inlineStr">
        <is>
          <t>Blooming Waters Collection</t>
        </is>
      </c>
      <c r="D105" s="89" t="inlineStr">
        <is>
          <t>Sealed</t>
        </is>
      </c>
      <c r="E105" s="89" t="inlineStr">
        <is>
          <t>Special Products</t>
        </is>
      </c>
      <c r="F105" s="89" t="inlineStr">
        <is>
          <t>Facebook Marketplace</t>
        </is>
      </c>
      <c r="G105" s="91" t="n">
        <v>26.28</v>
      </c>
      <c r="H105" s="91" t="n">
        <v>35.05</v>
      </c>
      <c r="I105" s="92">
        <f>H105-G105</f>
        <v/>
      </c>
      <c r="J105" s="93">
        <f>I105/H105</f>
        <v/>
      </c>
      <c r="K105" s="94" t="inlineStr">
        <is>
          <t>Profit</t>
        </is>
      </c>
    </row>
    <row r="106" ht="15" customHeight="1" s="64">
      <c r="A106" s="83" t="inlineStr">
        <is>
          <t>TXN-105</t>
        </is>
      </c>
      <c r="B106" s="84" t="inlineStr">
        <is>
          <t>Jul 31, 2025</t>
        </is>
      </c>
      <c r="C106" s="84" t="inlineStr">
        <is>
          <t>Stellar Crown Elite Trainer Box</t>
        </is>
      </c>
      <c r="D106" s="83" t="inlineStr">
        <is>
          <t>Sealed</t>
        </is>
      </c>
      <c r="E106" s="83" t="inlineStr">
        <is>
          <t>ETB</t>
        </is>
      </c>
      <c r="F106" s="83" t="inlineStr">
        <is>
          <t>eBay</t>
        </is>
      </c>
      <c r="G106" s="85" t="n">
        <v>58.98</v>
      </c>
      <c r="H106" s="85" t="n">
        <v>68.05</v>
      </c>
      <c r="I106" s="86">
        <f>H106-G106</f>
        <v/>
      </c>
      <c r="J106" s="87">
        <f>I106/H106</f>
        <v/>
      </c>
      <c r="K106" s="88" t="inlineStr">
        <is>
          <t>Profit</t>
        </is>
      </c>
    </row>
    <row r="107" ht="15" customHeight="1" s="64">
      <c r="A107" s="89" t="inlineStr">
        <is>
          <t>TXN-106</t>
        </is>
      </c>
      <c r="B107" s="90" t="inlineStr">
        <is>
          <t>Jul 31, 2025</t>
        </is>
      </c>
      <c r="C107" s="90" t="inlineStr">
        <is>
          <t>Blooming Waters Collection</t>
        </is>
      </c>
      <c r="D107" s="89" t="inlineStr">
        <is>
          <t>Sealed</t>
        </is>
      </c>
      <c r="E107" s="89" t="inlineStr">
        <is>
          <t>Special Products</t>
        </is>
      </c>
      <c r="F107" s="89" t="inlineStr">
        <is>
          <t>eBay</t>
        </is>
      </c>
      <c r="G107" s="91" t="n">
        <v>28.03</v>
      </c>
      <c r="H107" s="91" t="n">
        <v>39.44</v>
      </c>
      <c r="I107" s="92">
        <f>H107-G107</f>
        <v/>
      </c>
      <c r="J107" s="93">
        <f>I107/H107</f>
        <v/>
      </c>
      <c r="K107" s="94" t="inlineStr">
        <is>
          <t>Profit</t>
        </is>
      </c>
    </row>
    <row r="108" ht="15" customHeight="1" s="64">
      <c r="A108" s="83" t="inlineStr">
        <is>
          <t>TXN-107</t>
        </is>
      </c>
      <c r="B108" s="84" t="inlineStr">
        <is>
          <t>Jul 31, 2025</t>
        </is>
      </c>
      <c r="C108" s="84" t="inlineStr">
        <is>
          <t>Prismatic Evolutions Special Collection</t>
        </is>
      </c>
      <c r="D108" s="83" t="inlineStr">
        <is>
          <t>Sealed</t>
        </is>
      </c>
      <c r="E108" s="83" t="inlineStr">
        <is>
          <t>Special Products</t>
        </is>
      </c>
      <c r="F108" s="83" t="inlineStr">
        <is>
          <t>TCGPlayer</t>
        </is>
      </c>
      <c r="G108" s="85" t="n">
        <v>61.8</v>
      </c>
      <c r="H108" s="85" t="n">
        <v>98.34</v>
      </c>
      <c r="I108" s="86">
        <f>H108-G108</f>
        <v/>
      </c>
      <c r="J108" s="87">
        <f>I108/H108</f>
        <v/>
      </c>
      <c r="K108" s="88" t="inlineStr">
        <is>
          <t>Profit</t>
        </is>
      </c>
    </row>
    <row r="109" ht="15" customHeight="1" s="64">
      <c r="A109" s="89" t="inlineStr">
        <is>
          <t>TXN-108</t>
        </is>
      </c>
      <c r="B109" s="90" t="inlineStr">
        <is>
          <t>Aug 1, 2025</t>
        </is>
      </c>
      <c r="C109" s="90" t="inlineStr">
        <is>
          <t>Destined Rivals Elite Trainer Box</t>
        </is>
      </c>
      <c r="D109" s="89" t="inlineStr">
        <is>
          <t>Sealed</t>
        </is>
      </c>
      <c r="E109" s="89" t="inlineStr">
        <is>
          <t>ETB</t>
        </is>
      </c>
      <c r="F109" s="89" t="inlineStr">
        <is>
          <t>TCGPlayer</t>
        </is>
      </c>
      <c r="G109" s="91" t="n">
        <v>68.41</v>
      </c>
      <c r="H109" s="91" t="n">
        <v>78.22</v>
      </c>
      <c r="I109" s="92">
        <f>H109-G109</f>
        <v/>
      </c>
      <c r="J109" s="93">
        <f>I109/H109</f>
        <v/>
      </c>
      <c r="K109" s="94" t="inlineStr">
        <is>
          <t>Profit</t>
        </is>
      </c>
    </row>
    <row r="110" ht="15" customHeight="1" s="64">
      <c r="A110" s="83" t="inlineStr">
        <is>
          <t>TXN-109</t>
        </is>
      </c>
      <c r="B110" s="84" t="inlineStr">
        <is>
          <t>Aug 2, 2025</t>
        </is>
      </c>
      <c r="C110" s="84" t="inlineStr">
        <is>
          <t>Journey Together Booster Bundle</t>
        </is>
      </c>
      <c r="D110" s="83" t="inlineStr">
        <is>
          <t>Sealed</t>
        </is>
      </c>
      <c r="E110" s="83" t="inlineStr">
        <is>
          <t>Booster Pack Bundle</t>
        </is>
      </c>
      <c r="F110" s="83" t="inlineStr">
        <is>
          <t>TCGPlayer</t>
        </is>
      </c>
      <c r="G110" s="85" t="n">
        <v>22.43</v>
      </c>
      <c r="H110" s="85" t="n">
        <v>30.83</v>
      </c>
      <c r="I110" s="86">
        <f>H110-G110</f>
        <v/>
      </c>
      <c r="J110" s="87">
        <f>I110/H110</f>
        <v/>
      </c>
      <c r="K110" s="88" t="inlineStr">
        <is>
          <t>Profit</t>
        </is>
      </c>
    </row>
    <row r="111" ht="15" customHeight="1" s="64">
      <c r="A111" s="89" t="inlineStr">
        <is>
          <t>TXN-110</t>
        </is>
      </c>
      <c r="B111" s="90" t="inlineStr">
        <is>
          <t>Aug 2, 2025</t>
        </is>
      </c>
      <c r="C111" s="90" t="inlineStr">
        <is>
          <t>Stellar Crown Elite Trainer Box</t>
        </is>
      </c>
      <c r="D111" s="89" t="inlineStr">
        <is>
          <t>Sealed</t>
        </is>
      </c>
      <c r="E111" s="89" t="inlineStr">
        <is>
          <t>ETB</t>
        </is>
      </c>
      <c r="F111" s="89" t="inlineStr">
        <is>
          <t>TCGPlayer</t>
        </is>
      </c>
      <c r="G111" s="91" t="n">
        <v>64.03</v>
      </c>
      <c r="H111" s="91" t="n">
        <v>70.26000000000001</v>
      </c>
      <c r="I111" s="92">
        <f>H111-G111</f>
        <v/>
      </c>
      <c r="J111" s="93">
        <f>I111/H111</f>
        <v/>
      </c>
      <c r="K111" s="94" t="inlineStr">
        <is>
          <t>Profit</t>
        </is>
      </c>
    </row>
    <row r="112" ht="15" customHeight="1" s="64">
      <c r="A112" s="83" t="inlineStr">
        <is>
          <t>TXN-111</t>
        </is>
      </c>
      <c r="B112" s="84" t="inlineStr">
        <is>
          <t>Aug 3, 2025</t>
        </is>
      </c>
      <c r="C112" s="84" t="inlineStr">
        <is>
          <t>Prismatic Evolutions Booster Bundle</t>
        </is>
      </c>
      <c r="D112" s="83" t="inlineStr">
        <is>
          <t>Sealed</t>
        </is>
      </c>
      <c r="E112" s="83" t="inlineStr">
        <is>
          <t>Booster Pack Bundle</t>
        </is>
      </c>
      <c r="F112" s="83" t="inlineStr">
        <is>
          <t>eBay</t>
        </is>
      </c>
      <c r="G112" s="85" t="n">
        <v>49.45</v>
      </c>
      <c r="H112" s="85" t="n">
        <v>58.09</v>
      </c>
      <c r="I112" s="86">
        <f>H112-G112</f>
        <v/>
      </c>
      <c r="J112" s="87">
        <f>I112/H112</f>
        <v/>
      </c>
      <c r="K112" s="88" t="inlineStr">
        <is>
          <t>Profit</t>
        </is>
      </c>
    </row>
    <row r="113" ht="15" customHeight="1" s="64">
      <c r="A113" s="89" t="inlineStr">
        <is>
          <t>TXN-112</t>
        </is>
      </c>
      <c r="B113" s="90" t="inlineStr">
        <is>
          <t>Aug 3, 2025</t>
        </is>
      </c>
      <c r="C113" s="90" t="inlineStr">
        <is>
          <t>Journey Together Booster Bundle</t>
        </is>
      </c>
      <c r="D113" s="89" t="inlineStr">
        <is>
          <t>Sealed</t>
        </is>
      </c>
      <c r="E113" s="89" t="inlineStr">
        <is>
          <t>Booster Pack Bundle</t>
        </is>
      </c>
      <c r="F113" s="89" t="inlineStr">
        <is>
          <t>TCGPlayer</t>
        </is>
      </c>
      <c r="G113" s="91" t="n">
        <v>19.39</v>
      </c>
      <c r="H113" s="91" t="n">
        <v>35.84</v>
      </c>
      <c r="I113" s="92">
        <f>H113-G113</f>
        <v/>
      </c>
      <c r="J113" s="93">
        <f>I113/H113</f>
        <v/>
      </c>
      <c r="K113" s="94" t="inlineStr">
        <is>
          <t>Profit</t>
        </is>
      </c>
    </row>
    <row r="114" ht="15" customHeight="1" s="64">
      <c r="A114" s="95" t="inlineStr">
        <is>
          <t>TXN-113</t>
        </is>
      </c>
      <c r="B114" s="96" t="inlineStr">
        <is>
          <t>Aug 4, 2025</t>
        </is>
      </c>
      <c r="C114" s="96" t="inlineStr">
        <is>
          <t>Surging Sparks Booster Bundle</t>
        </is>
      </c>
      <c r="D114" s="95" t="inlineStr">
        <is>
          <t>Sealed</t>
        </is>
      </c>
      <c r="E114" s="95" t="inlineStr">
        <is>
          <t>Booster Pack Bundle</t>
        </is>
      </c>
      <c r="F114" s="95" t="inlineStr">
        <is>
          <t>TCGPlayer</t>
        </is>
      </c>
      <c r="G114" s="97" t="n">
        <v>28.9</v>
      </c>
      <c r="H114" s="97" t="n">
        <v>27.89</v>
      </c>
      <c r="I114" s="98">
        <f>H114-G114</f>
        <v/>
      </c>
      <c r="J114" s="99">
        <f>I114/H114</f>
        <v/>
      </c>
      <c r="K114" s="100" t="inlineStr">
        <is>
          <t>Loss</t>
        </is>
      </c>
    </row>
    <row r="115" ht="15" customHeight="1" s="64">
      <c r="A115" s="89" t="inlineStr">
        <is>
          <t>TXN-114</t>
        </is>
      </c>
      <c r="B115" s="90" t="inlineStr">
        <is>
          <t>Aug 5, 2025</t>
        </is>
      </c>
      <c r="C115" s="90" t="inlineStr">
        <is>
          <t>Prismatic Evolutions Booster Bundle</t>
        </is>
      </c>
      <c r="D115" s="89" t="inlineStr">
        <is>
          <t>Sealed</t>
        </is>
      </c>
      <c r="E115" s="89" t="inlineStr">
        <is>
          <t>Booster Pack Bundle</t>
        </is>
      </c>
      <c r="F115" s="89" t="inlineStr">
        <is>
          <t>eBay</t>
        </is>
      </c>
      <c r="G115" s="91" t="n">
        <v>61.04</v>
      </c>
      <c r="H115" s="91" t="n">
        <v>75.7</v>
      </c>
      <c r="I115" s="92">
        <f>H115-G115</f>
        <v/>
      </c>
      <c r="J115" s="93">
        <f>I115/H115</f>
        <v/>
      </c>
      <c r="K115" s="94" t="inlineStr">
        <is>
          <t>Profit</t>
        </is>
      </c>
    </row>
    <row r="116" ht="15" customHeight="1" s="64">
      <c r="A116" s="83" t="inlineStr">
        <is>
          <t>TXN-115</t>
        </is>
      </c>
      <c r="B116" s="84" t="inlineStr">
        <is>
          <t>Aug 5, 2025</t>
        </is>
      </c>
      <c r="C116" s="84" t="inlineStr">
        <is>
          <t>Surging Sparks Booster Bundle</t>
        </is>
      </c>
      <c r="D116" s="83" t="inlineStr">
        <is>
          <t>Sealed</t>
        </is>
      </c>
      <c r="E116" s="83" t="inlineStr">
        <is>
          <t>Booster Pack Bundle</t>
        </is>
      </c>
      <c r="F116" s="83" t="inlineStr">
        <is>
          <t>TCGPlayer</t>
        </is>
      </c>
      <c r="G116" s="85" t="n">
        <v>31.49</v>
      </c>
      <c r="H116" s="85" t="n">
        <v>37.86</v>
      </c>
      <c r="I116" s="86">
        <f>H116-G116</f>
        <v/>
      </c>
      <c r="J116" s="87">
        <f>I116/H116</f>
        <v/>
      </c>
      <c r="K116" s="88" t="inlineStr">
        <is>
          <t>Profit</t>
        </is>
      </c>
    </row>
    <row r="117" ht="15" customHeight="1" s="64">
      <c r="A117" s="89" t="inlineStr">
        <is>
          <t>TXN-116</t>
        </is>
      </c>
      <c r="B117" s="90" t="inlineStr">
        <is>
          <t>Aug 5, 2025</t>
        </is>
      </c>
      <c r="C117" s="90" t="inlineStr">
        <is>
          <t>Blooming Waters Collection</t>
        </is>
      </c>
      <c r="D117" s="89" t="inlineStr">
        <is>
          <t>Sealed</t>
        </is>
      </c>
      <c r="E117" s="89" t="inlineStr">
        <is>
          <t>Special Products</t>
        </is>
      </c>
      <c r="F117" s="89" t="inlineStr">
        <is>
          <t>eBay</t>
        </is>
      </c>
      <c r="G117" s="91" t="n">
        <v>30.28</v>
      </c>
      <c r="H117" s="91" t="n">
        <v>34.28</v>
      </c>
      <c r="I117" s="92">
        <f>H117-G117</f>
        <v/>
      </c>
      <c r="J117" s="93">
        <f>I117/H117</f>
        <v/>
      </c>
      <c r="K117" s="94" t="inlineStr">
        <is>
          <t>Profit</t>
        </is>
      </c>
    </row>
    <row r="118" ht="15" customHeight="1" s="64">
      <c r="A118" s="83" t="inlineStr">
        <is>
          <t>TXN-117</t>
        </is>
      </c>
      <c r="B118" s="84" t="inlineStr">
        <is>
          <t>Aug 6, 2025</t>
        </is>
      </c>
      <c r="C118" s="84" t="inlineStr">
        <is>
          <t>Blooming Waters Collection</t>
        </is>
      </c>
      <c r="D118" s="83" t="inlineStr">
        <is>
          <t>Sealed</t>
        </is>
      </c>
      <c r="E118" s="83" t="inlineStr">
        <is>
          <t>Special Products</t>
        </is>
      </c>
      <c r="F118" s="83" t="inlineStr">
        <is>
          <t>eBay</t>
        </is>
      </c>
      <c r="G118" s="85" t="n">
        <v>31.04</v>
      </c>
      <c r="H118" s="85" t="n">
        <v>43.83</v>
      </c>
      <c r="I118" s="86">
        <f>H118-G118</f>
        <v/>
      </c>
      <c r="J118" s="87">
        <f>I118/H118</f>
        <v/>
      </c>
      <c r="K118" s="88" t="inlineStr">
        <is>
          <t>Profit</t>
        </is>
      </c>
    </row>
    <row r="119" ht="15" customHeight="1" s="64">
      <c r="A119" s="89" t="inlineStr">
        <is>
          <t>TXN-118</t>
        </is>
      </c>
      <c r="B119" s="90" t="inlineStr">
        <is>
          <t>Aug 6, 2025</t>
        </is>
      </c>
      <c r="C119" s="90" t="inlineStr">
        <is>
          <t>Shrouded Fable Booster Bundle</t>
        </is>
      </c>
      <c r="D119" s="89" t="inlineStr">
        <is>
          <t>Sealed</t>
        </is>
      </c>
      <c r="E119" s="89" t="inlineStr">
        <is>
          <t>Booster Pack Bundle</t>
        </is>
      </c>
      <c r="F119" s="89" t="inlineStr">
        <is>
          <t>Facebook Marketplace</t>
        </is>
      </c>
      <c r="G119" s="91" t="n">
        <v>22.82</v>
      </c>
      <c r="H119" s="91" t="n">
        <v>28.15</v>
      </c>
      <c r="I119" s="92">
        <f>H119-G119</f>
        <v/>
      </c>
      <c r="J119" s="93">
        <f>I119/H119</f>
        <v/>
      </c>
      <c r="K119" s="94" t="inlineStr">
        <is>
          <t>Profit</t>
        </is>
      </c>
    </row>
    <row r="120" ht="15" customHeight="1" s="64">
      <c r="A120" s="83" t="inlineStr">
        <is>
          <t>TXN-119</t>
        </is>
      </c>
      <c r="B120" s="84" t="inlineStr">
        <is>
          <t>Aug 7, 2025</t>
        </is>
      </c>
      <c r="C120" s="84" t="inlineStr">
        <is>
          <t>Blooming Waters Collection</t>
        </is>
      </c>
      <c r="D120" s="83" t="inlineStr">
        <is>
          <t>Sealed</t>
        </is>
      </c>
      <c r="E120" s="83" t="inlineStr">
        <is>
          <t>Special Products</t>
        </is>
      </c>
      <c r="F120" s="83" t="inlineStr">
        <is>
          <t>eBay</t>
        </is>
      </c>
      <c r="G120" s="85" t="n">
        <v>28.68</v>
      </c>
      <c r="H120" s="85" t="n">
        <v>31.19</v>
      </c>
      <c r="I120" s="86">
        <f>H120-G120</f>
        <v/>
      </c>
      <c r="J120" s="87">
        <f>I120/H120</f>
        <v/>
      </c>
      <c r="K120" s="88" t="inlineStr">
        <is>
          <t>Profit</t>
        </is>
      </c>
    </row>
    <row r="121" ht="15" customHeight="1" s="64">
      <c r="A121" s="89" t="inlineStr">
        <is>
          <t>TXN-120</t>
        </is>
      </c>
      <c r="B121" s="90" t="inlineStr">
        <is>
          <t>Aug 8, 2025</t>
        </is>
      </c>
      <c r="C121" s="90" t="inlineStr">
        <is>
          <t>Shrouded Fable Booster Bundle</t>
        </is>
      </c>
      <c r="D121" s="89" t="inlineStr">
        <is>
          <t>Sealed</t>
        </is>
      </c>
      <c r="E121" s="89" t="inlineStr">
        <is>
          <t>Booster Pack Bundle</t>
        </is>
      </c>
      <c r="F121" s="89" t="inlineStr">
        <is>
          <t>eBay</t>
        </is>
      </c>
      <c r="G121" s="91" t="n">
        <v>22.31</v>
      </c>
      <c r="H121" s="91" t="n">
        <v>24.35</v>
      </c>
      <c r="I121" s="92">
        <f>H121-G121</f>
        <v/>
      </c>
      <c r="J121" s="93">
        <f>I121/H121</f>
        <v/>
      </c>
      <c r="K121" s="94" t="inlineStr">
        <is>
          <t>Profit</t>
        </is>
      </c>
    </row>
    <row r="122" ht="15" customHeight="1" s="64">
      <c r="A122" s="95" t="inlineStr">
        <is>
          <t>TXN-121</t>
        </is>
      </c>
      <c r="B122" s="96" t="inlineStr">
        <is>
          <t>Aug 8, 2025</t>
        </is>
      </c>
      <c r="C122" s="96" t="inlineStr">
        <is>
          <t>Journey Together Booster Bundle</t>
        </is>
      </c>
      <c r="D122" s="95" t="inlineStr">
        <is>
          <t>Sealed</t>
        </is>
      </c>
      <c r="E122" s="95" t="inlineStr">
        <is>
          <t>Booster Pack Bundle</t>
        </is>
      </c>
      <c r="F122" s="95" t="inlineStr">
        <is>
          <t>TCGPlayer</t>
        </is>
      </c>
      <c r="G122" s="97" t="n">
        <v>18.64</v>
      </c>
      <c r="H122" s="97" t="n">
        <v>16.71</v>
      </c>
      <c r="I122" s="98">
        <f>H122-G122</f>
        <v/>
      </c>
      <c r="J122" s="99">
        <f>I122/H122</f>
        <v/>
      </c>
      <c r="K122" s="100" t="inlineStr">
        <is>
          <t>Loss</t>
        </is>
      </c>
    </row>
    <row r="123" ht="15" customHeight="1" s="64">
      <c r="A123" s="89" t="inlineStr">
        <is>
          <t>TXN-122</t>
        </is>
      </c>
      <c r="B123" s="90" t="inlineStr">
        <is>
          <t>Aug 9, 2025</t>
        </is>
      </c>
      <c r="C123" s="90" t="inlineStr">
        <is>
          <t>Destined Rivals Elite Trainer Box</t>
        </is>
      </c>
      <c r="D123" s="89" t="inlineStr">
        <is>
          <t>Sealed</t>
        </is>
      </c>
      <c r="E123" s="89" t="inlineStr">
        <is>
          <t>ETB</t>
        </is>
      </c>
      <c r="F123" s="89" t="inlineStr">
        <is>
          <t>eBay</t>
        </is>
      </c>
      <c r="G123" s="91" t="n">
        <v>55.23</v>
      </c>
      <c r="H123" s="91" t="n">
        <v>77.48999999999999</v>
      </c>
      <c r="I123" s="92">
        <f>H123-G123</f>
        <v/>
      </c>
      <c r="J123" s="93">
        <f>I123/H123</f>
        <v/>
      </c>
      <c r="K123" s="94" t="inlineStr">
        <is>
          <t>Profit</t>
        </is>
      </c>
    </row>
    <row r="124" ht="15" customHeight="1" s="64">
      <c r="A124" s="83" t="inlineStr">
        <is>
          <t>TXN-123</t>
        </is>
      </c>
      <c r="B124" s="84" t="inlineStr">
        <is>
          <t>Aug 9, 2025</t>
        </is>
      </c>
      <c r="C124" s="84" t="inlineStr">
        <is>
          <t>Journey Together Booster Bundle</t>
        </is>
      </c>
      <c r="D124" s="83" t="inlineStr">
        <is>
          <t>Sealed</t>
        </is>
      </c>
      <c r="E124" s="83" t="inlineStr">
        <is>
          <t>Booster Pack Bundle</t>
        </is>
      </c>
      <c r="F124" s="83" t="inlineStr">
        <is>
          <t>Facebook Marketplace</t>
        </is>
      </c>
      <c r="G124" s="85" t="n">
        <v>26.84</v>
      </c>
      <c r="H124" s="85" t="n">
        <v>30.91</v>
      </c>
      <c r="I124" s="86">
        <f>H124-G124</f>
        <v/>
      </c>
      <c r="J124" s="87">
        <f>I124/H124</f>
        <v/>
      </c>
      <c r="K124" s="88" t="inlineStr">
        <is>
          <t>Profit</t>
        </is>
      </c>
    </row>
    <row r="125" ht="15" customHeight="1" s="64">
      <c r="A125" s="89" t="inlineStr">
        <is>
          <t>TXN-124</t>
        </is>
      </c>
      <c r="B125" s="90" t="inlineStr">
        <is>
          <t>Aug 10, 2025</t>
        </is>
      </c>
      <c r="C125" s="90" t="inlineStr">
        <is>
          <t>Journey Together Booster Bundle</t>
        </is>
      </c>
      <c r="D125" s="89" t="inlineStr">
        <is>
          <t>Sealed</t>
        </is>
      </c>
      <c r="E125" s="89" t="inlineStr">
        <is>
          <t>Booster Pack Bundle</t>
        </is>
      </c>
      <c r="F125" s="89" t="inlineStr">
        <is>
          <t>eBay</t>
        </is>
      </c>
      <c r="G125" s="91" t="n">
        <v>20.5</v>
      </c>
      <c r="H125" s="91" t="n">
        <v>26.22</v>
      </c>
      <c r="I125" s="92">
        <f>H125-G125</f>
        <v/>
      </c>
      <c r="J125" s="93">
        <f>I125/H125</f>
        <v/>
      </c>
      <c r="K125" s="94" t="inlineStr">
        <is>
          <t>Profit</t>
        </is>
      </c>
    </row>
    <row r="126" ht="15" customHeight="1" s="64">
      <c r="A126" s="83" t="inlineStr">
        <is>
          <t>TXN-125</t>
        </is>
      </c>
      <c r="B126" s="84" t="inlineStr">
        <is>
          <t>Aug 10, 2025</t>
        </is>
      </c>
      <c r="C126" s="84" t="inlineStr">
        <is>
          <t>Stellar Crown Elite Trainer Box</t>
        </is>
      </c>
      <c r="D126" s="83" t="inlineStr">
        <is>
          <t>Sealed</t>
        </is>
      </c>
      <c r="E126" s="83" t="inlineStr">
        <is>
          <t>ETB</t>
        </is>
      </c>
      <c r="F126" s="83" t="inlineStr">
        <is>
          <t>eBay</t>
        </is>
      </c>
      <c r="G126" s="85" t="n">
        <v>60.55</v>
      </c>
      <c r="H126" s="85" t="n">
        <v>87.43000000000001</v>
      </c>
      <c r="I126" s="86">
        <f>H126-G126</f>
        <v/>
      </c>
      <c r="J126" s="87">
        <f>I126/H126</f>
        <v/>
      </c>
      <c r="K126" s="88" t="inlineStr">
        <is>
          <t>Profit</t>
        </is>
      </c>
    </row>
    <row r="127" ht="15" customHeight="1" s="64">
      <c r="A127" s="89" t="inlineStr">
        <is>
          <t>TXN-126</t>
        </is>
      </c>
      <c r="B127" s="90" t="inlineStr">
        <is>
          <t>Aug 11, 2025</t>
        </is>
      </c>
      <c r="C127" s="90" t="inlineStr">
        <is>
          <t>Prismatic Evolutions Special Collection</t>
        </is>
      </c>
      <c r="D127" s="89" t="inlineStr">
        <is>
          <t>Sealed</t>
        </is>
      </c>
      <c r="E127" s="89" t="inlineStr">
        <is>
          <t>Special Products</t>
        </is>
      </c>
      <c r="F127" s="89" t="inlineStr">
        <is>
          <t>Facebook Marketplace</t>
        </is>
      </c>
      <c r="G127" s="91" t="n">
        <v>58.85</v>
      </c>
      <c r="H127" s="91" t="n">
        <v>95.09</v>
      </c>
      <c r="I127" s="92">
        <f>H127-G127</f>
        <v/>
      </c>
      <c r="J127" s="93">
        <f>I127/H127</f>
        <v/>
      </c>
      <c r="K127" s="94" t="inlineStr">
        <is>
          <t>Profit</t>
        </is>
      </c>
    </row>
    <row r="128" ht="15" customHeight="1" s="64">
      <c r="A128" s="83" t="inlineStr">
        <is>
          <t>TXN-127</t>
        </is>
      </c>
      <c r="B128" s="84" t="inlineStr">
        <is>
          <t>Aug 11, 2025</t>
        </is>
      </c>
      <c r="C128" s="84" t="inlineStr">
        <is>
          <t>Destined Rivals Elite Trainer Box</t>
        </is>
      </c>
      <c r="D128" s="83" t="inlineStr">
        <is>
          <t>Sealed</t>
        </is>
      </c>
      <c r="E128" s="83" t="inlineStr">
        <is>
          <t>ETB</t>
        </is>
      </c>
      <c r="F128" s="83" t="inlineStr">
        <is>
          <t>eBay</t>
        </is>
      </c>
      <c r="G128" s="85" t="n">
        <v>73.53</v>
      </c>
      <c r="H128" s="85" t="n">
        <v>87.17</v>
      </c>
      <c r="I128" s="86">
        <f>H128-G128</f>
        <v/>
      </c>
      <c r="J128" s="87">
        <f>I128/H128</f>
        <v/>
      </c>
      <c r="K128" s="88" t="inlineStr">
        <is>
          <t>Profit</t>
        </is>
      </c>
    </row>
    <row r="129" ht="15" customHeight="1" s="64">
      <c r="A129" s="95" t="inlineStr">
        <is>
          <t>TXN-128</t>
        </is>
      </c>
      <c r="B129" s="96" t="inlineStr">
        <is>
          <t>Aug 12, 2025</t>
        </is>
      </c>
      <c r="C129" s="96" t="inlineStr">
        <is>
          <t>Crown Zenith Tin</t>
        </is>
      </c>
      <c r="D129" s="95" t="inlineStr">
        <is>
          <t>Sealed</t>
        </is>
      </c>
      <c r="E129" s="95" t="inlineStr">
        <is>
          <t>Special Products</t>
        </is>
      </c>
      <c r="F129" s="95" t="inlineStr">
        <is>
          <t>eBay</t>
        </is>
      </c>
      <c r="G129" s="97" t="n">
        <v>27.05</v>
      </c>
      <c r="H129" s="97" t="n">
        <v>23.65</v>
      </c>
      <c r="I129" s="98">
        <f>H129-G129</f>
        <v/>
      </c>
      <c r="J129" s="99">
        <f>I129/H129</f>
        <v/>
      </c>
      <c r="K129" s="100" t="inlineStr">
        <is>
          <t>Loss</t>
        </is>
      </c>
    </row>
    <row r="130" ht="15" customHeight="1" s="64">
      <c r="A130" s="83" t="inlineStr">
        <is>
          <t>TXN-129</t>
        </is>
      </c>
      <c r="B130" s="84" t="inlineStr">
        <is>
          <t>Aug 12, 2025</t>
        </is>
      </c>
      <c r="C130" s="84" t="inlineStr">
        <is>
          <t>Black Bolt Elite Trainer Box</t>
        </is>
      </c>
      <c r="D130" s="83" t="inlineStr">
        <is>
          <t>Sealed</t>
        </is>
      </c>
      <c r="E130" s="83" t="inlineStr">
        <is>
          <t>ETB</t>
        </is>
      </c>
      <c r="F130" s="83" t="inlineStr">
        <is>
          <t>eBay</t>
        </is>
      </c>
      <c r="G130" s="85" t="n">
        <v>60.71</v>
      </c>
      <c r="H130" s="85" t="n">
        <v>70.59</v>
      </c>
      <c r="I130" s="86">
        <f>H130-G130</f>
        <v/>
      </c>
      <c r="J130" s="87">
        <f>I130/H130</f>
        <v/>
      </c>
      <c r="K130" s="88" t="inlineStr">
        <is>
          <t>Profit</t>
        </is>
      </c>
    </row>
    <row r="131" ht="15" customHeight="1" s="64">
      <c r="A131" s="89" t="inlineStr">
        <is>
          <t>TXN-130</t>
        </is>
      </c>
      <c r="B131" s="90" t="inlineStr">
        <is>
          <t>Aug 14, 2025</t>
        </is>
      </c>
      <c r="C131" s="90" t="inlineStr">
        <is>
          <t>Scarlet &amp; Violet 151 Booster Bundle</t>
        </is>
      </c>
      <c r="D131" s="89" t="inlineStr">
        <is>
          <t>Sealed</t>
        </is>
      </c>
      <c r="E131" s="89" t="inlineStr">
        <is>
          <t>Booster Pack Bundle</t>
        </is>
      </c>
      <c r="F131" s="89" t="inlineStr">
        <is>
          <t>eBay</t>
        </is>
      </c>
      <c r="G131" s="91" t="n">
        <v>38.91</v>
      </c>
      <c r="H131" s="91" t="n">
        <v>57.43</v>
      </c>
      <c r="I131" s="92">
        <f>H131-G131</f>
        <v/>
      </c>
      <c r="J131" s="93">
        <f>I131/H131</f>
        <v/>
      </c>
      <c r="K131" s="94" t="inlineStr">
        <is>
          <t>Profit</t>
        </is>
      </c>
    </row>
    <row r="132" ht="15" customHeight="1" s="64">
      <c r="A132" s="95" t="inlineStr">
        <is>
          <t>TXN-131</t>
        </is>
      </c>
      <c r="B132" s="96" t="inlineStr">
        <is>
          <t>Aug 16, 2025</t>
        </is>
      </c>
      <c r="C132" s="96" t="inlineStr">
        <is>
          <t>Stellar Crown Elite Trainer Box</t>
        </is>
      </c>
      <c r="D132" s="95" t="inlineStr">
        <is>
          <t>Sealed</t>
        </is>
      </c>
      <c r="E132" s="95" t="inlineStr">
        <is>
          <t>ETB</t>
        </is>
      </c>
      <c r="F132" s="95" t="inlineStr">
        <is>
          <t>eBay</t>
        </is>
      </c>
      <c r="G132" s="97" t="n">
        <v>54.79</v>
      </c>
      <c r="H132" s="97" t="n">
        <v>48.61</v>
      </c>
      <c r="I132" s="98">
        <f>H132-G132</f>
        <v/>
      </c>
      <c r="J132" s="99">
        <f>I132/H132</f>
        <v/>
      </c>
      <c r="K132" s="100" t="inlineStr">
        <is>
          <t>Loss</t>
        </is>
      </c>
    </row>
    <row r="133" ht="15" customHeight="1" s="64">
      <c r="A133" s="89" t="inlineStr">
        <is>
          <t>TXN-132</t>
        </is>
      </c>
      <c r="B133" s="90" t="inlineStr">
        <is>
          <t>Aug 16, 2025</t>
        </is>
      </c>
      <c r="C133" s="90" t="inlineStr">
        <is>
          <t>Black Bolt Elite Trainer Box</t>
        </is>
      </c>
      <c r="D133" s="89" t="inlineStr">
        <is>
          <t>Sealed</t>
        </is>
      </c>
      <c r="E133" s="89" t="inlineStr">
        <is>
          <t>ETB</t>
        </is>
      </c>
      <c r="F133" s="89" t="inlineStr">
        <is>
          <t>eBay</t>
        </is>
      </c>
      <c r="G133" s="91" t="n">
        <v>59.21</v>
      </c>
      <c r="H133" s="91" t="n">
        <v>119.31</v>
      </c>
      <c r="I133" s="92">
        <f>H133-G133</f>
        <v/>
      </c>
      <c r="J133" s="93">
        <f>I133/H133</f>
        <v/>
      </c>
      <c r="K133" s="94" t="inlineStr">
        <is>
          <t>Profit</t>
        </is>
      </c>
    </row>
    <row r="134" ht="15" customHeight="1" s="64">
      <c r="A134" s="83" t="inlineStr">
        <is>
          <t>TXN-133</t>
        </is>
      </c>
      <c r="B134" s="84" t="inlineStr">
        <is>
          <t>Aug 16, 2025</t>
        </is>
      </c>
      <c r="C134" s="84" t="inlineStr">
        <is>
          <t>Stellar Crown Elite Trainer Box</t>
        </is>
      </c>
      <c r="D134" s="83" t="inlineStr">
        <is>
          <t>Sealed</t>
        </is>
      </c>
      <c r="E134" s="83" t="inlineStr">
        <is>
          <t>ETB</t>
        </is>
      </c>
      <c r="F134" s="83" t="inlineStr">
        <is>
          <t>eBay</t>
        </is>
      </c>
      <c r="G134" s="85" t="n">
        <v>62.52</v>
      </c>
      <c r="H134" s="85" t="n">
        <v>78.02</v>
      </c>
      <c r="I134" s="86">
        <f>H134-G134</f>
        <v/>
      </c>
      <c r="J134" s="87">
        <f>I134/H134</f>
        <v/>
      </c>
      <c r="K134" s="88" t="inlineStr">
        <is>
          <t>Profit</t>
        </is>
      </c>
    </row>
    <row r="135" ht="15" customHeight="1" s="64">
      <c r="A135" s="89" t="inlineStr">
        <is>
          <t>TXN-134</t>
        </is>
      </c>
      <c r="B135" s="90" t="inlineStr">
        <is>
          <t>Aug 17, 2025</t>
        </is>
      </c>
      <c r="C135" s="90" t="inlineStr">
        <is>
          <t>Prismatic Evolutions Elite Trainer Box</t>
        </is>
      </c>
      <c r="D135" s="89" t="inlineStr">
        <is>
          <t>Sealed</t>
        </is>
      </c>
      <c r="E135" s="89" t="inlineStr">
        <is>
          <t>ETB</t>
        </is>
      </c>
      <c r="F135" s="89" t="inlineStr">
        <is>
          <t>TCGPlayer</t>
        </is>
      </c>
      <c r="G135" s="91" t="n">
        <v>55.27</v>
      </c>
      <c r="H135" s="91" t="n">
        <v>76.41</v>
      </c>
      <c r="I135" s="92">
        <f>H135-G135</f>
        <v/>
      </c>
      <c r="J135" s="93">
        <f>I135/H135</f>
        <v/>
      </c>
      <c r="K135" s="94" t="inlineStr">
        <is>
          <t>Profit</t>
        </is>
      </c>
    </row>
    <row r="136" ht="15" customHeight="1" s="64">
      <c r="A136" s="83" t="inlineStr">
        <is>
          <t>TXN-135</t>
        </is>
      </c>
      <c r="B136" s="84" t="inlineStr">
        <is>
          <t>Aug 17, 2025</t>
        </is>
      </c>
      <c r="C136" s="84" t="inlineStr">
        <is>
          <t>Prismatic Evolutions Booster Bundle</t>
        </is>
      </c>
      <c r="D136" s="83" t="inlineStr">
        <is>
          <t>Sealed</t>
        </is>
      </c>
      <c r="E136" s="83" t="inlineStr">
        <is>
          <t>Booster Pack Bundle</t>
        </is>
      </c>
      <c r="F136" s="83" t="inlineStr">
        <is>
          <t>eBay</t>
        </is>
      </c>
      <c r="G136" s="85" t="n">
        <v>49.32</v>
      </c>
      <c r="H136" s="85" t="n">
        <v>65.78</v>
      </c>
      <c r="I136" s="86">
        <f>H136-G136</f>
        <v/>
      </c>
      <c r="J136" s="87">
        <f>I136/H136</f>
        <v/>
      </c>
      <c r="K136" s="88" t="inlineStr">
        <is>
          <t>Profit</t>
        </is>
      </c>
    </row>
    <row r="137" ht="15" customHeight="1" s="64">
      <c r="A137" s="89" t="inlineStr">
        <is>
          <t>TXN-136</t>
        </is>
      </c>
      <c r="B137" s="90" t="inlineStr">
        <is>
          <t>Aug 18, 2025</t>
        </is>
      </c>
      <c r="C137" s="90" t="inlineStr">
        <is>
          <t>Destined Rivals Elite Trainer Box</t>
        </is>
      </c>
      <c r="D137" s="89" t="inlineStr">
        <is>
          <t>Sealed</t>
        </is>
      </c>
      <c r="E137" s="89" t="inlineStr">
        <is>
          <t>ETB</t>
        </is>
      </c>
      <c r="F137" s="89" t="inlineStr">
        <is>
          <t>TCGPlayer</t>
        </is>
      </c>
      <c r="G137" s="91" t="n">
        <v>61.74</v>
      </c>
      <c r="H137" s="91" t="n">
        <v>87.5</v>
      </c>
      <c r="I137" s="92">
        <f>H137-G137</f>
        <v/>
      </c>
      <c r="J137" s="93">
        <f>I137/H137</f>
        <v/>
      </c>
      <c r="K137" s="94" t="inlineStr">
        <is>
          <t>Profit</t>
        </is>
      </c>
    </row>
    <row r="138" ht="15" customHeight="1" s="64">
      <c r="A138" s="83" t="inlineStr">
        <is>
          <t>TXN-137</t>
        </is>
      </c>
      <c r="B138" s="84" t="inlineStr">
        <is>
          <t>Aug 18, 2025</t>
        </is>
      </c>
      <c r="C138" s="84" t="inlineStr">
        <is>
          <t>Black Bolt Elite Trainer Box</t>
        </is>
      </c>
      <c r="D138" s="83" t="inlineStr">
        <is>
          <t>Sealed</t>
        </is>
      </c>
      <c r="E138" s="83" t="inlineStr">
        <is>
          <t>ETB</t>
        </is>
      </c>
      <c r="F138" s="83" t="inlineStr">
        <is>
          <t>eBay</t>
        </is>
      </c>
      <c r="G138" s="85" t="n">
        <v>71.83</v>
      </c>
      <c r="H138" s="85" t="n">
        <v>77.91</v>
      </c>
      <c r="I138" s="86">
        <f>H138-G138</f>
        <v/>
      </c>
      <c r="J138" s="87">
        <f>I138/H138</f>
        <v/>
      </c>
      <c r="K138" s="88" t="inlineStr">
        <is>
          <t>Profit</t>
        </is>
      </c>
    </row>
    <row r="139" ht="15" customHeight="1" s="64">
      <c r="A139" s="89" t="inlineStr">
        <is>
          <t>TXN-138</t>
        </is>
      </c>
      <c r="B139" s="90" t="inlineStr">
        <is>
          <t>Aug 19, 2025</t>
        </is>
      </c>
      <c r="C139" s="90" t="inlineStr">
        <is>
          <t>Crown Zenith Tin</t>
        </is>
      </c>
      <c r="D139" s="89" t="inlineStr">
        <is>
          <t>Sealed</t>
        </is>
      </c>
      <c r="E139" s="89" t="inlineStr">
        <is>
          <t>Special Products</t>
        </is>
      </c>
      <c r="F139" s="89" t="inlineStr">
        <is>
          <t>eBay</t>
        </is>
      </c>
      <c r="G139" s="91" t="n">
        <v>28.33</v>
      </c>
      <c r="H139" s="91" t="n">
        <v>36.03</v>
      </c>
      <c r="I139" s="92">
        <f>H139-G139</f>
        <v/>
      </c>
      <c r="J139" s="93">
        <f>I139/H139</f>
        <v/>
      </c>
      <c r="K139" s="94" t="inlineStr">
        <is>
          <t>Profit</t>
        </is>
      </c>
    </row>
    <row r="140" ht="15" customHeight="1" s="64">
      <c r="A140" s="83" t="inlineStr">
        <is>
          <t>TXN-139</t>
        </is>
      </c>
      <c r="B140" s="84" t="inlineStr">
        <is>
          <t>Aug 19, 2025</t>
        </is>
      </c>
      <c r="C140" s="84" t="inlineStr">
        <is>
          <t>Prismatic Evolutions Booster Bundle</t>
        </is>
      </c>
      <c r="D140" s="83" t="inlineStr">
        <is>
          <t>Sealed</t>
        </is>
      </c>
      <c r="E140" s="83" t="inlineStr">
        <is>
          <t>Booster Pack Bundle</t>
        </is>
      </c>
      <c r="F140" s="83" t="inlineStr">
        <is>
          <t>eBay</t>
        </is>
      </c>
      <c r="G140" s="85" t="n">
        <v>57.99</v>
      </c>
      <c r="H140" s="85" t="n">
        <v>76.97</v>
      </c>
      <c r="I140" s="86">
        <f>H140-G140</f>
        <v/>
      </c>
      <c r="J140" s="87">
        <f>I140/H140</f>
        <v/>
      </c>
      <c r="K140" s="88" t="inlineStr">
        <is>
          <t>Profit</t>
        </is>
      </c>
    </row>
    <row r="141" ht="15" customHeight="1" s="64">
      <c r="A141" s="89" t="inlineStr">
        <is>
          <t>TXN-140</t>
        </is>
      </c>
      <c r="B141" s="90" t="inlineStr">
        <is>
          <t>Aug 20, 2025</t>
        </is>
      </c>
      <c r="C141" s="90" t="inlineStr">
        <is>
          <t>Scarlet &amp; Violet 151 Booster Bundle</t>
        </is>
      </c>
      <c r="D141" s="89" t="inlineStr">
        <is>
          <t>Sealed</t>
        </is>
      </c>
      <c r="E141" s="89" t="inlineStr">
        <is>
          <t>Booster Pack Bundle</t>
        </is>
      </c>
      <c r="F141" s="89" t="inlineStr">
        <is>
          <t>TCGPlayer</t>
        </is>
      </c>
      <c r="G141" s="91" t="n">
        <v>37.5</v>
      </c>
      <c r="H141" s="91" t="n">
        <v>52.14</v>
      </c>
      <c r="I141" s="92">
        <f>H141-G141</f>
        <v/>
      </c>
      <c r="J141" s="93">
        <f>I141/H141</f>
        <v/>
      </c>
      <c r="K141" s="94" t="inlineStr">
        <is>
          <t>Profit</t>
        </is>
      </c>
    </row>
    <row r="142" ht="15" customHeight="1" s="64">
      <c r="A142" s="83" t="inlineStr">
        <is>
          <t>TXN-141</t>
        </is>
      </c>
      <c r="B142" s="84" t="inlineStr">
        <is>
          <t>Aug 21, 2025</t>
        </is>
      </c>
      <c r="C142" s="84" t="inlineStr">
        <is>
          <t>Black Bolt Elite Trainer Box</t>
        </is>
      </c>
      <c r="D142" s="83" t="inlineStr">
        <is>
          <t>Sealed</t>
        </is>
      </c>
      <c r="E142" s="83" t="inlineStr">
        <is>
          <t>ETB</t>
        </is>
      </c>
      <c r="F142" s="83" t="inlineStr">
        <is>
          <t>eBay</t>
        </is>
      </c>
      <c r="G142" s="85" t="n">
        <v>73.81</v>
      </c>
      <c r="H142" s="85" t="n">
        <v>111.88</v>
      </c>
      <c r="I142" s="86">
        <f>H142-G142</f>
        <v/>
      </c>
      <c r="J142" s="87">
        <f>I142/H142</f>
        <v/>
      </c>
      <c r="K142" s="88" t="inlineStr">
        <is>
          <t>Profit</t>
        </is>
      </c>
    </row>
    <row r="143" ht="15" customHeight="1" s="64">
      <c r="A143" s="89" t="inlineStr">
        <is>
          <t>TXN-142</t>
        </is>
      </c>
      <c r="B143" s="90" t="inlineStr">
        <is>
          <t>Aug 21, 2025</t>
        </is>
      </c>
      <c r="C143" s="90" t="inlineStr">
        <is>
          <t>Destined Rivals Booster Bundle</t>
        </is>
      </c>
      <c r="D143" s="89" t="inlineStr">
        <is>
          <t>Sealed</t>
        </is>
      </c>
      <c r="E143" s="89" t="inlineStr">
        <is>
          <t>Booster Pack Bundle</t>
        </is>
      </c>
      <c r="F143" s="89" t="inlineStr">
        <is>
          <t>eBay</t>
        </is>
      </c>
      <c r="G143" s="91" t="n">
        <v>21.77</v>
      </c>
      <c r="H143" s="91" t="n">
        <v>35.67</v>
      </c>
      <c r="I143" s="92">
        <f>H143-G143</f>
        <v/>
      </c>
      <c r="J143" s="93">
        <f>I143/H143</f>
        <v/>
      </c>
      <c r="K143" s="94" t="inlineStr">
        <is>
          <t>Profit</t>
        </is>
      </c>
    </row>
    <row r="144" ht="15" customHeight="1" s="64">
      <c r="A144" s="83" t="inlineStr">
        <is>
          <t>TXN-143</t>
        </is>
      </c>
      <c r="B144" s="84" t="inlineStr">
        <is>
          <t>Aug 21, 2025</t>
        </is>
      </c>
      <c r="C144" s="84" t="inlineStr">
        <is>
          <t>Crown Zenith Tin</t>
        </is>
      </c>
      <c r="D144" s="83" t="inlineStr">
        <is>
          <t>Sealed</t>
        </is>
      </c>
      <c r="E144" s="83" t="inlineStr">
        <is>
          <t>Special Products</t>
        </is>
      </c>
      <c r="F144" s="83" t="inlineStr">
        <is>
          <t>Facebook Marketplace</t>
        </is>
      </c>
      <c r="G144" s="85" t="n">
        <v>24.52</v>
      </c>
      <c r="H144" s="85" t="n">
        <v>44.24</v>
      </c>
      <c r="I144" s="86">
        <f>H144-G144</f>
        <v/>
      </c>
      <c r="J144" s="87">
        <f>I144/H144</f>
        <v/>
      </c>
      <c r="K144" s="88" t="inlineStr">
        <is>
          <t>Profit</t>
        </is>
      </c>
    </row>
    <row r="145" ht="15" customHeight="1" s="64">
      <c r="A145" s="89" t="inlineStr">
        <is>
          <t>TXN-144</t>
        </is>
      </c>
      <c r="B145" s="90" t="inlineStr">
        <is>
          <t>Aug 22, 2025</t>
        </is>
      </c>
      <c r="C145" s="90" t="inlineStr">
        <is>
          <t>Shrouded Fable Booster Bundle</t>
        </is>
      </c>
      <c r="D145" s="89" t="inlineStr">
        <is>
          <t>Sealed</t>
        </is>
      </c>
      <c r="E145" s="89" t="inlineStr">
        <is>
          <t>Booster Pack Bundle</t>
        </is>
      </c>
      <c r="F145" s="89" t="inlineStr">
        <is>
          <t>TCGPlayer</t>
        </is>
      </c>
      <c r="G145" s="91" t="n">
        <v>23.43</v>
      </c>
      <c r="H145" s="91" t="n">
        <v>31.92</v>
      </c>
      <c r="I145" s="92">
        <f>H145-G145</f>
        <v/>
      </c>
      <c r="J145" s="93">
        <f>I145/H145</f>
        <v/>
      </c>
      <c r="K145" s="94" t="inlineStr">
        <is>
          <t>Profit</t>
        </is>
      </c>
    </row>
    <row r="146" ht="15" customHeight="1" s="64">
      <c r="A146" s="95" t="inlineStr">
        <is>
          <t>TXN-145</t>
        </is>
      </c>
      <c r="B146" s="96" t="inlineStr">
        <is>
          <t>Aug 22, 2025</t>
        </is>
      </c>
      <c r="C146" s="96" t="inlineStr">
        <is>
          <t>Scarlet &amp; Violet 151 Booster Bundle</t>
        </is>
      </c>
      <c r="D146" s="95" t="inlineStr">
        <is>
          <t>Sealed</t>
        </is>
      </c>
      <c r="E146" s="95" t="inlineStr">
        <is>
          <t>Booster Pack Bundle</t>
        </is>
      </c>
      <c r="F146" s="95" t="inlineStr">
        <is>
          <t>TCGPlayer</t>
        </is>
      </c>
      <c r="G146" s="97" t="n">
        <v>34.38</v>
      </c>
      <c r="H146" s="97" t="n">
        <v>32.67</v>
      </c>
      <c r="I146" s="98">
        <f>H146-G146</f>
        <v/>
      </c>
      <c r="J146" s="99">
        <f>I146/H146</f>
        <v/>
      </c>
      <c r="K146" s="100" t="inlineStr">
        <is>
          <t>Loss</t>
        </is>
      </c>
    </row>
    <row r="147" ht="15" customHeight="1" s="64">
      <c r="A147" s="89" t="inlineStr">
        <is>
          <t>TXN-146</t>
        </is>
      </c>
      <c r="B147" s="90" t="inlineStr">
        <is>
          <t>Aug 23, 2025</t>
        </is>
      </c>
      <c r="C147" s="90" t="inlineStr">
        <is>
          <t>Prismatic Evolutions Booster Bundle</t>
        </is>
      </c>
      <c r="D147" s="89" t="inlineStr">
        <is>
          <t>Sealed</t>
        </is>
      </c>
      <c r="E147" s="89" t="inlineStr">
        <is>
          <t>Booster Pack Bundle</t>
        </is>
      </c>
      <c r="F147" s="89" t="inlineStr">
        <is>
          <t>TCGPlayer</t>
        </is>
      </c>
      <c r="G147" s="91" t="n">
        <v>56.5</v>
      </c>
      <c r="H147" s="91" t="n">
        <v>66.14</v>
      </c>
      <c r="I147" s="92">
        <f>H147-G147</f>
        <v/>
      </c>
      <c r="J147" s="93">
        <f>I147/H147</f>
        <v/>
      </c>
      <c r="K147" s="94" t="inlineStr">
        <is>
          <t>Profit</t>
        </is>
      </c>
    </row>
    <row r="148" ht="15" customHeight="1" s="64">
      <c r="A148" s="83" t="inlineStr">
        <is>
          <t>TXN-147</t>
        </is>
      </c>
      <c r="B148" s="84" t="inlineStr">
        <is>
          <t>Aug 24, 2025</t>
        </is>
      </c>
      <c r="C148" s="84" t="inlineStr">
        <is>
          <t>Blooming Waters Collection</t>
        </is>
      </c>
      <c r="D148" s="83" t="inlineStr">
        <is>
          <t>Sealed</t>
        </is>
      </c>
      <c r="E148" s="83" t="inlineStr">
        <is>
          <t>Special Products</t>
        </is>
      </c>
      <c r="F148" s="83" t="inlineStr">
        <is>
          <t>TCGPlayer</t>
        </is>
      </c>
      <c r="G148" s="85" t="n">
        <v>22.21</v>
      </c>
      <c r="H148" s="85" t="n">
        <v>35.54</v>
      </c>
      <c r="I148" s="86">
        <f>H148-G148</f>
        <v/>
      </c>
      <c r="J148" s="87">
        <f>I148/H148</f>
        <v/>
      </c>
      <c r="K148" s="88" t="inlineStr">
        <is>
          <t>Profit</t>
        </is>
      </c>
    </row>
    <row r="149" ht="15" customHeight="1" s="64">
      <c r="A149" s="95" t="inlineStr">
        <is>
          <t>TXN-148</t>
        </is>
      </c>
      <c r="B149" s="96" t="inlineStr">
        <is>
          <t>Aug 24, 2025</t>
        </is>
      </c>
      <c r="C149" s="96" t="inlineStr">
        <is>
          <t>Black Bolt Elite Trainer Box</t>
        </is>
      </c>
      <c r="D149" s="95" t="inlineStr">
        <is>
          <t>Sealed</t>
        </is>
      </c>
      <c r="E149" s="95" t="inlineStr">
        <is>
          <t>ETB</t>
        </is>
      </c>
      <c r="F149" s="95" t="inlineStr">
        <is>
          <t>eBay</t>
        </is>
      </c>
      <c r="G149" s="97" t="n">
        <v>78.78</v>
      </c>
      <c r="H149" s="97" t="n">
        <v>68.66</v>
      </c>
      <c r="I149" s="98">
        <f>H149-G149</f>
        <v/>
      </c>
      <c r="J149" s="99">
        <f>I149/H149</f>
        <v/>
      </c>
      <c r="K149" s="100" t="inlineStr">
        <is>
          <t>Loss</t>
        </is>
      </c>
    </row>
    <row r="150" ht="15" customHeight="1" s="64">
      <c r="A150" s="83" t="inlineStr">
        <is>
          <t>TXN-149</t>
        </is>
      </c>
      <c r="B150" s="84" t="inlineStr">
        <is>
          <t>Aug 25, 2025</t>
        </is>
      </c>
      <c r="C150" s="84" t="inlineStr">
        <is>
          <t>Blooming Waters Collection</t>
        </is>
      </c>
      <c r="D150" s="83" t="inlineStr">
        <is>
          <t>Sealed</t>
        </is>
      </c>
      <c r="E150" s="83" t="inlineStr">
        <is>
          <t>Special Products</t>
        </is>
      </c>
      <c r="F150" s="83" t="inlineStr">
        <is>
          <t>TCGPlayer</t>
        </is>
      </c>
      <c r="G150" s="85" t="n">
        <v>23</v>
      </c>
      <c r="H150" s="85" t="n">
        <v>37.1</v>
      </c>
      <c r="I150" s="86">
        <f>H150-G150</f>
        <v/>
      </c>
      <c r="J150" s="87">
        <f>I150/H150</f>
        <v/>
      </c>
      <c r="K150" s="88" t="inlineStr">
        <is>
          <t>Profit</t>
        </is>
      </c>
    </row>
    <row r="151" ht="15" customHeight="1" s="64">
      <c r="A151" s="89" t="inlineStr">
        <is>
          <t>TXN-150</t>
        </is>
      </c>
      <c r="B151" s="90" t="inlineStr">
        <is>
          <t>Aug 25, 2025</t>
        </is>
      </c>
      <c r="C151" s="90" t="inlineStr">
        <is>
          <t>Prismatic Evolutions Elite Trainer Box</t>
        </is>
      </c>
      <c r="D151" s="89" t="inlineStr">
        <is>
          <t>Sealed</t>
        </is>
      </c>
      <c r="E151" s="89" t="inlineStr">
        <is>
          <t>ETB</t>
        </is>
      </c>
      <c r="F151" s="89" t="inlineStr">
        <is>
          <t>TCGPlayer</t>
        </is>
      </c>
      <c r="G151" s="91" t="n">
        <v>56.9</v>
      </c>
      <c r="H151" s="91" t="n">
        <v>75.65000000000001</v>
      </c>
      <c r="I151" s="92">
        <f>H151-G151</f>
        <v/>
      </c>
      <c r="J151" s="93">
        <f>I151/H151</f>
        <v/>
      </c>
      <c r="K151" s="94" t="inlineStr">
        <is>
          <t>Profit</t>
        </is>
      </c>
    </row>
    <row r="152" ht="15" customHeight="1" s="64">
      <c r="A152" s="83" t="inlineStr">
        <is>
          <t>TXN-151</t>
        </is>
      </c>
      <c r="B152" s="84" t="inlineStr">
        <is>
          <t>Aug 26, 2025</t>
        </is>
      </c>
      <c r="C152" s="84" t="inlineStr">
        <is>
          <t>Prismatic Evolutions Special Collection</t>
        </is>
      </c>
      <c r="D152" s="83" t="inlineStr">
        <is>
          <t>Sealed</t>
        </is>
      </c>
      <c r="E152" s="83" t="inlineStr">
        <is>
          <t>Special Products</t>
        </is>
      </c>
      <c r="F152" s="83" t="inlineStr">
        <is>
          <t>eBay</t>
        </is>
      </c>
      <c r="G152" s="85" t="n">
        <v>77.09999999999999</v>
      </c>
      <c r="H152" s="85" t="n">
        <v>109.11</v>
      </c>
      <c r="I152" s="86">
        <f>H152-G152</f>
        <v/>
      </c>
      <c r="J152" s="87">
        <f>I152/H152</f>
        <v/>
      </c>
      <c r="K152" s="88" t="inlineStr">
        <is>
          <t>Profit</t>
        </is>
      </c>
    </row>
    <row r="153" ht="15" customHeight="1" s="64">
      <c r="A153" s="89" t="inlineStr">
        <is>
          <t>TXN-152</t>
        </is>
      </c>
      <c r="B153" s="90" t="inlineStr">
        <is>
          <t>Aug 27, 2025</t>
        </is>
      </c>
      <c r="C153" s="90" t="inlineStr">
        <is>
          <t>Prismatic Evolutions Booster Bundle</t>
        </is>
      </c>
      <c r="D153" s="89" t="inlineStr">
        <is>
          <t>Sealed</t>
        </is>
      </c>
      <c r="E153" s="89" t="inlineStr">
        <is>
          <t>Booster Pack Bundle</t>
        </is>
      </c>
      <c r="F153" s="89" t="inlineStr">
        <is>
          <t>eBay</t>
        </is>
      </c>
      <c r="G153" s="91" t="n">
        <v>47.29</v>
      </c>
      <c r="H153" s="91" t="n">
        <v>63.74</v>
      </c>
      <c r="I153" s="92">
        <f>H153-G153</f>
        <v/>
      </c>
      <c r="J153" s="93">
        <f>I153/H153</f>
        <v/>
      </c>
      <c r="K153" s="94" t="inlineStr">
        <is>
          <t>Profit</t>
        </is>
      </c>
    </row>
    <row r="154" ht="15" customHeight="1" s="64">
      <c r="A154" s="95" t="inlineStr">
        <is>
          <t>TXN-153</t>
        </is>
      </c>
      <c r="B154" s="96" t="inlineStr">
        <is>
          <t>Aug 27, 2025</t>
        </is>
      </c>
      <c r="C154" s="96" t="inlineStr">
        <is>
          <t>Journey Together Booster Bundle</t>
        </is>
      </c>
      <c r="D154" s="95" t="inlineStr">
        <is>
          <t>Sealed</t>
        </is>
      </c>
      <c r="E154" s="95" t="inlineStr">
        <is>
          <t>Booster Pack Bundle</t>
        </is>
      </c>
      <c r="F154" s="95" t="inlineStr">
        <is>
          <t>eBay</t>
        </is>
      </c>
      <c r="G154" s="97" t="n">
        <v>20.9</v>
      </c>
      <c r="H154" s="97" t="n">
        <v>19.87</v>
      </c>
      <c r="I154" s="98">
        <f>H154-G154</f>
        <v/>
      </c>
      <c r="J154" s="99">
        <f>I154/H154</f>
        <v/>
      </c>
      <c r="K154" s="100" t="inlineStr">
        <is>
          <t>Loss</t>
        </is>
      </c>
    </row>
    <row r="155" ht="15" customHeight="1" s="64">
      <c r="A155" s="89" t="inlineStr">
        <is>
          <t>TXN-154</t>
        </is>
      </c>
      <c r="B155" s="90" t="inlineStr">
        <is>
          <t>Aug 28, 2025</t>
        </is>
      </c>
      <c r="C155" s="90" t="inlineStr">
        <is>
          <t>Destined Rivals Booster Bundle</t>
        </is>
      </c>
      <c r="D155" s="89" t="inlineStr">
        <is>
          <t>Sealed</t>
        </is>
      </c>
      <c r="E155" s="89" t="inlineStr">
        <is>
          <t>Booster Pack Bundle</t>
        </is>
      </c>
      <c r="F155" s="89" t="inlineStr">
        <is>
          <t>TCGPlayer</t>
        </is>
      </c>
      <c r="G155" s="91" t="n">
        <v>23.99</v>
      </c>
      <c r="H155" s="91" t="n">
        <v>30.36</v>
      </c>
      <c r="I155" s="92">
        <f>H155-G155</f>
        <v/>
      </c>
      <c r="J155" s="93">
        <f>I155/H155</f>
        <v/>
      </c>
      <c r="K155" s="94" t="inlineStr">
        <is>
          <t>Profit</t>
        </is>
      </c>
    </row>
    <row r="156" ht="15" customHeight="1" s="64">
      <c r="A156" s="83" t="inlineStr">
        <is>
          <t>TXN-155</t>
        </is>
      </c>
      <c r="B156" s="84" t="inlineStr">
        <is>
          <t>Aug 28, 2025</t>
        </is>
      </c>
      <c r="C156" s="84" t="inlineStr">
        <is>
          <t>Prismatic Evolutions Elite Trainer Box</t>
        </is>
      </c>
      <c r="D156" s="83" t="inlineStr">
        <is>
          <t>Sealed</t>
        </is>
      </c>
      <c r="E156" s="83" t="inlineStr">
        <is>
          <t>ETB</t>
        </is>
      </c>
      <c r="F156" s="83" t="inlineStr">
        <is>
          <t>TCGPlayer</t>
        </is>
      </c>
      <c r="G156" s="85" t="n">
        <v>62.38</v>
      </c>
      <c r="H156" s="85" t="n">
        <v>85.28</v>
      </c>
      <c r="I156" s="86">
        <f>H156-G156</f>
        <v/>
      </c>
      <c r="J156" s="87">
        <f>I156/H156</f>
        <v/>
      </c>
      <c r="K156" s="88" t="inlineStr">
        <is>
          <t>Profit</t>
        </is>
      </c>
    </row>
    <row r="157" ht="15" customHeight="1" s="64">
      <c r="A157" s="89" t="inlineStr">
        <is>
          <t>TXN-156</t>
        </is>
      </c>
      <c r="B157" s="90" t="inlineStr">
        <is>
          <t>Aug 31, 2025</t>
        </is>
      </c>
      <c r="C157" s="90" t="inlineStr">
        <is>
          <t>Destined Rivals Elite Trainer Box</t>
        </is>
      </c>
      <c r="D157" s="89" t="inlineStr">
        <is>
          <t>Sealed</t>
        </is>
      </c>
      <c r="E157" s="89" t="inlineStr">
        <is>
          <t>ETB</t>
        </is>
      </c>
      <c r="F157" s="89" t="inlineStr">
        <is>
          <t>TCGPlayer</t>
        </is>
      </c>
      <c r="G157" s="91" t="n">
        <v>73.75</v>
      </c>
      <c r="H157" s="91" t="n">
        <v>93.44</v>
      </c>
      <c r="I157" s="92">
        <f>H157-G157</f>
        <v/>
      </c>
      <c r="J157" s="93">
        <f>I157/H157</f>
        <v/>
      </c>
      <c r="K157" s="94" t="inlineStr">
        <is>
          <t>Profit</t>
        </is>
      </c>
    </row>
    <row r="158" ht="15" customHeight="1" s="64">
      <c r="A158" s="95" t="inlineStr">
        <is>
          <t>TXN-157</t>
        </is>
      </c>
      <c r="B158" s="96" t="inlineStr">
        <is>
          <t>Sep 1, 2025</t>
        </is>
      </c>
      <c r="C158" s="96" t="inlineStr">
        <is>
          <t>Scarlet &amp; Violet 151 Booster Bundle</t>
        </is>
      </c>
      <c r="D158" s="95" t="inlineStr">
        <is>
          <t>Sealed</t>
        </is>
      </c>
      <c r="E158" s="95" t="inlineStr">
        <is>
          <t>Booster Pack Bundle</t>
        </is>
      </c>
      <c r="F158" s="95" t="inlineStr">
        <is>
          <t>TCGPlayer</t>
        </is>
      </c>
      <c r="G158" s="97" t="n">
        <v>40.2</v>
      </c>
      <c r="H158" s="97" t="n">
        <v>38.74</v>
      </c>
      <c r="I158" s="98">
        <f>H158-G158</f>
        <v/>
      </c>
      <c r="J158" s="99">
        <f>I158/H158</f>
        <v/>
      </c>
      <c r="K158" s="100" t="inlineStr">
        <is>
          <t>Loss</t>
        </is>
      </c>
    </row>
    <row r="159" ht="15" customHeight="1" s="64">
      <c r="A159" s="89" t="inlineStr">
        <is>
          <t>TXN-158</t>
        </is>
      </c>
      <c r="B159" s="90" t="inlineStr">
        <is>
          <t>Sep 3, 2025</t>
        </is>
      </c>
      <c r="C159" s="90" t="inlineStr">
        <is>
          <t>Destined Rivals Elite Trainer Box</t>
        </is>
      </c>
      <c r="D159" s="89" t="inlineStr">
        <is>
          <t>Sealed</t>
        </is>
      </c>
      <c r="E159" s="89" t="inlineStr">
        <is>
          <t>ETB</t>
        </is>
      </c>
      <c r="F159" s="89" t="inlineStr">
        <is>
          <t>eBay</t>
        </is>
      </c>
      <c r="G159" s="91" t="n">
        <v>58.29</v>
      </c>
      <c r="H159" s="91" t="n">
        <v>82.67</v>
      </c>
      <c r="I159" s="92">
        <f>H159-G159</f>
        <v/>
      </c>
      <c r="J159" s="93">
        <f>I159/H159</f>
        <v/>
      </c>
      <c r="K159" s="94" t="inlineStr">
        <is>
          <t>Profit</t>
        </is>
      </c>
    </row>
    <row r="160" ht="15" customHeight="1" s="64">
      <c r="A160" s="83" t="inlineStr">
        <is>
          <t>TXN-159</t>
        </is>
      </c>
      <c r="B160" s="84" t="inlineStr">
        <is>
          <t>Sep 3, 2025</t>
        </is>
      </c>
      <c r="C160" s="84" t="inlineStr">
        <is>
          <t>Prismatic Evolutions Special Collection</t>
        </is>
      </c>
      <c r="D160" s="83" t="inlineStr">
        <is>
          <t>Sealed</t>
        </is>
      </c>
      <c r="E160" s="83" t="inlineStr">
        <is>
          <t>Special Products</t>
        </is>
      </c>
      <c r="F160" s="83" t="inlineStr">
        <is>
          <t>TCGPlayer</t>
        </is>
      </c>
      <c r="G160" s="85" t="n">
        <v>59.97</v>
      </c>
      <c r="H160" s="85" t="n">
        <v>94.56</v>
      </c>
      <c r="I160" s="86">
        <f>H160-G160</f>
        <v/>
      </c>
      <c r="J160" s="87">
        <f>I160/H160</f>
        <v/>
      </c>
      <c r="K160" s="88" t="inlineStr">
        <is>
          <t>Profit</t>
        </is>
      </c>
    </row>
    <row r="161" ht="15" customHeight="1" s="64">
      <c r="A161" s="89" t="inlineStr">
        <is>
          <t>TXN-160</t>
        </is>
      </c>
      <c r="B161" s="90" t="inlineStr">
        <is>
          <t>Sep 3, 2025</t>
        </is>
      </c>
      <c r="C161" s="90" t="inlineStr">
        <is>
          <t>White Flare Elite Trainer Box</t>
        </is>
      </c>
      <c r="D161" s="89" t="inlineStr">
        <is>
          <t>Sealed</t>
        </is>
      </c>
      <c r="E161" s="89" t="inlineStr">
        <is>
          <t>ETB</t>
        </is>
      </c>
      <c r="F161" s="89" t="inlineStr">
        <is>
          <t>TCGPlayer</t>
        </is>
      </c>
      <c r="G161" s="91" t="n">
        <v>71.66</v>
      </c>
      <c r="H161" s="91" t="n">
        <v>85.5</v>
      </c>
      <c r="I161" s="92">
        <f>H161-G161</f>
        <v/>
      </c>
      <c r="J161" s="93">
        <f>I161/H161</f>
        <v/>
      </c>
      <c r="K161" s="94" t="inlineStr">
        <is>
          <t>Profit</t>
        </is>
      </c>
    </row>
    <row r="162" ht="15" customHeight="1" s="64">
      <c r="A162" s="83" t="inlineStr">
        <is>
          <t>TXN-161</t>
        </is>
      </c>
      <c r="B162" s="84" t="inlineStr">
        <is>
          <t>Sep 4, 2025</t>
        </is>
      </c>
      <c r="C162" s="84" t="inlineStr">
        <is>
          <t>Black Bolt Elite Trainer Box</t>
        </is>
      </c>
      <c r="D162" s="83" t="inlineStr">
        <is>
          <t>Sealed</t>
        </is>
      </c>
      <c r="E162" s="83" t="inlineStr">
        <is>
          <t>ETB</t>
        </is>
      </c>
      <c r="F162" s="83" t="inlineStr">
        <is>
          <t>TCGPlayer</t>
        </is>
      </c>
      <c r="G162" s="85" t="n">
        <v>63.61</v>
      </c>
      <c r="H162" s="85" t="n">
        <v>100.91</v>
      </c>
      <c r="I162" s="86">
        <f>H162-G162</f>
        <v/>
      </c>
      <c r="J162" s="87">
        <f>I162/H162</f>
        <v/>
      </c>
      <c r="K162" s="88" t="inlineStr">
        <is>
          <t>Profit</t>
        </is>
      </c>
    </row>
    <row r="163" ht="15" customHeight="1" s="64">
      <c r="A163" s="89" t="inlineStr">
        <is>
          <t>TXN-162</t>
        </is>
      </c>
      <c r="B163" s="90" t="inlineStr">
        <is>
          <t>Sep 4, 2025</t>
        </is>
      </c>
      <c r="C163" s="90" t="inlineStr">
        <is>
          <t>Journey Together Booster Bundle</t>
        </is>
      </c>
      <c r="D163" s="89" t="inlineStr">
        <is>
          <t>Sealed</t>
        </is>
      </c>
      <c r="E163" s="89" t="inlineStr">
        <is>
          <t>Booster Pack Bundle</t>
        </is>
      </c>
      <c r="F163" s="89" t="inlineStr">
        <is>
          <t>Facebook Marketplace</t>
        </is>
      </c>
      <c r="G163" s="91" t="n">
        <v>22.52</v>
      </c>
      <c r="H163" s="91" t="n">
        <v>36.63</v>
      </c>
      <c r="I163" s="92">
        <f>H163-G163</f>
        <v/>
      </c>
      <c r="J163" s="93">
        <f>I163/H163</f>
        <v/>
      </c>
      <c r="K163" s="94" t="inlineStr">
        <is>
          <t>Profit</t>
        </is>
      </c>
    </row>
    <row r="164" ht="15" customHeight="1" s="64">
      <c r="A164" s="83" t="inlineStr">
        <is>
          <t>TXN-163</t>
        </is>
      </c>
      <c r="B164" s="84" t="inlineStr">
        <is>
          <t>Sep 4, 2025</t>
        </is>
      </c>
      <c r="C164" s="84" t="inlineStr">
        <is>
          <t>White Flare Elite Trainer Box</t>
        </is>
      </c>
      <c r="D164" s="83" t="inlineStr">
        <is>
          <t>Sealed</t>
        </is>
      </c>
      <c r="E164" s="83" t="inlineStr">
        <is>
          <t>ETB</t>
        </is>
      </c>
      <c r="F164" s="83" t="inlineStr">
        <is>
          <t>eBay</t>
        </is>
      </c>
      <c r="G164" s="85" t="n">
        <v>45.54</v>
      </c>
      <c r="H164" s="85" t="n">
        <v>75.29000000000001</v>
      </c>
      <c r="I164" s="86">
        <f>H164-G164</f>
        <v/>
      </c>
      <c r="J164" s="87">
        <f>I164/H164</f>
        <v/>
      </c>
      <c r="K164" s="88" t="inlineStr">
        <is>
          <t>Profit</t>
        </is>
      </c>
    </row>
    <row r="165" ht="15" customHeight="1" s="64">
      <c r="A165" s="89" t="inlineStr">
        <is>
          <t>TXN-164</t>
        </is>
      </c>
      <c r="B165" s="90" t="inlineStr">
        <is>
          <t>Sep 5, 2025</t>
        </is>
      </c>
      <c r="C165" s="90" t="inlineStr">
        <is>
          <t>Black Bolt Elite Trainer Box</t>
        </is>
      </c>
      <c r="D165" s="89" t="inlineStr">
        <is>
          <t>Sealed</t>
        </is>
      </c>
      <c r="E165" s="89" t="inlineStr">
        <is>
          <t>ETB</t>
        </is>
      </c>
      <c r="F165" s="89" t="inlineStr">
        <is>
          <t>eBay</t>
        </is>
      </c>
      <c r="G165" s="91" t="n">
        <v>67.54000000000001</v>
      </c>
      <c r="H165" s="91" t="n">
        <v>97.65000000000001</v>
      </c>
      <c r="I165" s="92">
        <f>H165-G165</f>
        <v/>
      </c>
      <c r="J165" s="93">
        <f>I165/H165</f>
        <v/>
      </c>
      <c r="K165" s="94" t="inlineStr">
        <is>
          <t>Profit</t>
        </is>
      </c>
    </row>
    <row r="166" ht="15" customHeight="1" s="64">
      <c r="A166" s="83" t="inlineStr">
        <is>
          <t>TXN-165</t>
        </is>
      </c>
      <c r="B166" s="84" t="inlineStr">
        <is>
          <t>Sep 5, 2025</t>
        </is>
      </c>
      <c r="C166" s="84" t="inlineStr">
        <is>
          <t>Black Bolt Elite Trainer Box</t>
        </is>
      </c>
      <c r="D166" s="83" t="inlineStr">
        <is>
          <t>Sealed</t>
        </is>
      </c>
      <c r="E166" s="83" t="inlineStr">
        <is>
          <t>ETB</t>
        </is>
      </c>
      <c r="F166" s="83" t="inlineStr">
        <is>
          <t>TCGPlayer</t>
        </is>
      </c>
      <c r="G166" s="85" t="n">
        <v>54.8</v>
      </c>
      <c r="H166" s="85" t="n">
        <v>99.47</v>
      </c>
      <c r="I166" s="86">
        <f>H166-G166</f>
        <v/>
      </c>
      <c r="J166" s="87">
        <f>I166/H166</f>
        <v/>
      </c>
      <c r="K166" s="88" t="inlineStr">
        <is>
          <t>Profit</t>
        </is>
      </c>
    </row>
    <row r="167" ht="15" customHeight="1" s="64">
      <c r="A167" s="89" t="inlineStr">
        <is>
          <t>TXN-166</t>
        </is>
      </c>
      <c r="B167" s="90" t="inlineStr">
        <is>
          <t>Sep 6, 2025</t>
        </is>
      </c>
      <c r="C167" s="90" t="inlineStr">
        <is>
          <t>Destined Rivals Elite Trainer Box</t>
        </is>
      </c>
      <c r="D167" s="89" t="inlineStr">
        <is>
          <t>Sealed</t>
        </is>
      </c>
      <c r="E167" s="89" t="inlineStr">
        <is>
          <t>ETB</t>
        </is>
      </c>
      <c r="F167" s="89" t="inlineStr">
        <is>
          <t>TCGPlayer</t>
        </is>
      </c>
      <c r="G167" s="91" t="n">
        <v>74.55</v>
      </c>
      <c r="H167" s="91" t="n">
        <v>98.95999999999999</v>
      </c>
      <c r="I167" s="92">
        <f>H167-G167</f>
        <v/>
      </c>
      <c r="J167" s="93">
        <f>I167/H167</f>
        <v/>
      </c>
      <c r="K167" s="94" t="inlineStr">
        <is>
          <t>Profit</t>
        </is>
      </c>
    </row>
    <row r="168" ht="15" customHeight="1" s="64">
      <c r="A168" s="83" t="inlineStr">
        <is>
          <t>TXN-167</t>
        </is>
      </c>
      <c r="B168" s="84" t="inlineStr">
        <is>
          <t>Sep 6, 2025</t>
        </is>
      </c>
      <c r="C168" s="84" t="inlineStr">
        <is>
          <t>Destined Rivals Elite Trainer Box</t>
        </is>
      </c>
      <c r="D168" s="83" t="inlineStr">
        <is>
          <t>Sealed</t>
        </is>
      </c>
      <c r="E168" s="83" t="inlineStr">
        <is>
          <t>ETB</t>
        </is>
      </c>
      <c r="F168" s="83" t="inlineStr">
        <is>
          <t>TCGPlayer</t>
        </is>
      </c>
      <c r="G168" s="85" t="n">
        <v>77.55</v>
      </c>
      <c r="H168" s="85" t="n">
        <v>99.95</v>
      </c>
      <c r="I168" s="86">
        <f>H168-G168</f>
        <v/>
      </c>
      <c r="J168" s="87">
        <f>I168/H168</f>
        <v/>
      </c>
      <c r="K168" s="88" t="inlineStr">
        <is>
          <t>Profit</t>
        </is>
      </c>
    </row>
    <row r="169" ht="15" customHeight="1" s="64">
      <c r="A169" s="89" t="inlineStr">
        <is>
          <t>TXN-168</t>
        </is>
      </c>
      <c r="B169" s="90" t="inlineStr">
        <is>
          <t>Sep 6, 2025</t>
        </is>
      </c>
      <c r="C169" s="90" t="inlineStr">
        <is>
          <t>Destined Rivals Booster Bundle</t>
        </is>
      </c>
      <c r="D169" s="89" t="inlineStr">
        <is>
          <t>Sealed</t>
        </is>
      </c>
      <c r="E169" s="89" t="inlineStr">
        <is>
          <t>Booster Pack Bundle</t>
        </is>
      </c>
      <c r="F169" s="89" t="inlineStr">
        <is>
          <t>Facebook Marketplace</t>
        </is>
      </c>
      <c r="G169" s="91" t="n">
        <v>23.44</v>
      </c>
      <c r="H169" s="91" t="n">
        <v>34.2</v>
      </c>
      <c r="I169" s="92">
        <f>H169-G169</f>
        <v/>
      </c>
      <c r="J169" s="93">
        <f>I169/H169</f>
        <v/>
      </c>
      <c r="K169" s="94" t="inlineStr">
        <is>
          <t>Profit</t>
        </is>
      </c>
    </row>
    <row r="170" ht="15" customHeight="1" s="64">
      <c r="A170" s="83" t="inlineStr">
        <is>
          <t>TXN-169</t>
        </is>
      </c>
      <c r="B170" s="84" t="inlineStr">
        <is>
          <t>Sep 7, 2025</t>
        </is>
      </c>
      <c r="C170" s="84" t="inlineStr">
        <is>
          <t>Shrouded Fable Booster Bundle</t>
        </is>
      </c>
      <c r="D170" s="83" t="inlineStr">
        <is>
          <t>Sealed</t>
        </is>
      </c>
      <c r="E170" s="83" t="inlineStr">
        <is>
          <t>Booster Pack Bundle</t>
        </is>
      </c>
      <c r="F170" s="83" t="inlineStr">
        <is>
          <t>eBay</t>
        </is>
      </c>
      <c r="G170" s="85" t="n">
        <v>22.8</v>
      </c>
      <c r="H170" s="85" t="n">
        <v>26.14</v>
      </c>
      <c r="I170" s="86">
        <f>H170-G170</f>
        <v/>
      </c>
      <c r="J170" s="87">
        <f>I170/H170</f>
        <v/>
      </c>
      <c r="K170" s="88" t="inlineStr">
        <is>
          <t>Profit</t>
        </is>
      </c>
    </row>
    <row r="171" ht="15" customHeight="1" s="64">
      <c r="A171" s="89" t="inlineStr">
        <is>
          <t>TXN-170</t>
        </is>
      </c>
      <c r="B171" s="90" t="inlineStr">
        <is>
          <t>Sep 9, 2025</t>
        </is>
      </c>
      <c r="C171" s="90" t="inlineStr">
        <is>
          <t>Blooming Waters Collection</t>
        </is>
      </c>
      <c r="D171" s="89" t="inlineStr">
        <is>
          <t>Sealed</t>
        </is>
      </c>
      <c r="E171" s="89" t="inlineStr">
        <is>
          <t>Special Products</t>
        </is>
      </c>
      <c r="F171" s="89" t="inlineStr">
        <is>
          <t>TCGPlayer</t>
        </is>
      </c>
      <c r="G171" s="91" t="n">
        <v>29.49</v>
      </c>
      <c r="H171" s="91" t="n">
        <v>39.41</v>
      </c>
      <c r="I171" s="92">
        <f>H171-G171</f>
        <v/>
      </c>
      <c r="J171" s="93">
        <f>I171/H171</f>
        <v/>
      </c>
      <c r="K171" s="94" t="inlineStr">
        <is>
          <t>Profit</t>
        </is>
      </c>
    </row>
    <row r="172" ht="15" customHeight="1" s="64">
      <c r="A172" s="83" t="inlineStr">
        <is>
          <t>TXN-171</t>
        </is>
      </c>
      <c r="B172" s="84" t="inlineStr">
        <is>
          <t>Sep 9, 2025</t>
        </is>
      </c>
      <c r="C172" s="84" t="inlineStr">
        <is>
          <t>Stellar Crown Elite Trainer Box</t>
        </is>
      </c>
      <c r="D172" s="83" t="inlineStr">
        <is>
          <t>Sealed</t>
        </is>
      </c>
      <c r="E172" s="83" t="inlineStr">
        <is>
          <t>ETB</t>
        </is>
      </c>
      <c r="F172" s="83" t="inlineStr">
        <is>
          <t>eBay</t>
        </is>
      </c>
      <c r="G172" s="85" t="n">
        <v>66.37</v>
      </c>
      <c r="H172" s="85" t="n">
        <v>83.26000000000001</v>
      </c>
      <c r="I172" s="86">
        <f>H172-G172</f>
        <v/>
      </c>
      <c r="J172" s="87">
        <f>I172/H172</f>
        <v/>
      </c>
      <c r="K172" s="88" t="inlineStr">
        <is>
          <t>Profit</t>
        </is>
      </c>
    </row>
    <row r="173" ht="15" customHeight="1" s="64">
      <c r="A173" s="89" t="inlineStr">
        <is>
          <t>TXN-172</t>
        </is>
      </c>
      <c r="B173" s="90" t="inlineStr">
        <is>
          <t>Sep 10, 2025</t>
        </is>
      </c>
      <c r="C173" s="90" t="inlineStr">
        <is>
          <t>Prismatic Evolutions Elite Trainer Box</t>
        </is>
      </c>
      <c r="D173" s="89" t="inlineStr">
        <is>
          <t>Sealed</t>
        </is>
      </c>
      <c r="E173" s="89" t="inlineStr">
        <is>
          <t>ETB</t>
        </is>
      </c>
      <c r="F173" s="89" t="inlineStr">
        <is>
          <t>eBay</t>
        </is>
      </c>
      <c r="G173" s="91" t="n">
        <v>65.15000000000001</v>
      </c>
      <c r="H173" s="91" t="n">
        <v>77.95</v>
      </c>
      <c r="I173" s="92">
        <f>H173-G173</f>
        <v/>
      </c>
      <c r="J173" s="93">
        <f>I173/H173</f>
        <v/>
      </c>
      <c r="K173" s="94" t="inlineStr">
        <is>
          <t>Profit</t>
        </is>
      </c>
    </row>
    <row r="174" ht="15" customHeight="1" s="64">
      <c r="A174" s="95" t="inlineStr">
        <is>
          <t>TXN-173</t>
        </is>
      </c>
      <c r="B174" s="96" t="inlineStr">
        <is>
          <t>Sep 11, 2025</t>
        </is>
      </c>
      <c r="C174" s="96" t="inlineStr">
        <is>
          <t>Blooming Waters Collection</t>
        </is>
      </c>
      <c r="D174" s="95" t="inlineStr">
        <is>
          <t>Sealed</t>
        </is>
      </c>
      <c r="E174" s="95" t="inlineStr">
        <is>
          <t>Special Products</t>
        </is>
      </c>
      <c r="F174" s="95" t="inlineStr">
        <is>
          <t>TCGPlayer</t>
        </is>
      </c>
      <c r="G174" s="97" t="n">
        <v>22.81</v>
      </c>
      <c r="H174" s="97" t="n">
        <v>19.97</v>
      </c>
      <c r="I174" s="98">
        <f>H174-G174</f>
        <v/>
      </c>
      <c r="J174" s="99">
        <f>I174/H174</f>
        <v/>
      </c>
      <c r="K174" s="100" t="inlineStr">
        <is>
          <t>Loss</t>
        </is>
      </c>
    </row>
    <row r="175" ht="15" customHeight="1" s="64">
      <c r="A175" s="89" t="inlineStr">
        <is>
          <t>TXN-174</t>
        </is>
      </c>
      <c r="B175" s="90" t="inlineStr">
        <is>
          <t>Sep 11, 2025</t>
        </is>
      </c>
      <c r="C175" s="90" t="inlineStr">
        <is>
          <t>White Flare Elite Trainer Box</t>
        </is>
      </c>
      <c r="D175" s="89" t="inlineStr">
        <is>
          <t>Sealed</t>
        </is>
      </c>
      <c r="E175" s="89" t="inlineStr">
        <is>
          <t>ETB</t>
        </is>
      </c>
      <c r="F175" s="89" t="inlineStr">
        <is>
          <t>eBay</t>
        </is>
      </c>
      <c r="G175" s="91" t="n">
        <v>88.97</v>
      </c>
      <c r="H175" s="91" t="n">
        <v>96.73</v>
      </c>
      <c r="I175" s="92">
        <f>H175-G175</f>
        <v/>
      </c>
      <c r="J175" s="93">
        <f>I175/H175</f>
        <v/>
      </c>
      <c r="K175" s="94" t="inlineStr">
        <is>
          <t>Profit</t>
        </is>
      </c>
    </row>
    <row r="176" ht="15" customHeight="1" s="64">
      <c r="A176" s="83" t="inlineStr">
        <is>
          <t>TXN-175</t>
        </is>
      </c>
      <c r="B176" s="84" t="inlineStr">
        <is>
          <t>Sep 11, 2025</t>
        </is>
      </c>
      <c r="C176" s="84" t="inlineStr">
        <is>
          <t>Prismatic Evolutions Booster Bundle</t>
        </is>
      </c>
      <c r="D176" s="83" t="inlineStr">
        <is>
          <t>Sealed</t>
        </is>
      </c>
      <c r="E176" s="83" t="inlineStr">
        <is>
          <t>Booster Pack Bundle</t>
        </is>
      </c>
      <c r="F176" s="83" t="inlineStr">
        <is>
          <t>eBay</t>
        </is>
      </c>
      <c r="G176" s="85" t="n">
        <v>51.33</v>
      </c>
      <c r="H176" s="85" t="n">
        <v>71.36</v>
      </c>
      <c r="I176" s="86">
        <f>H176-G176</f>
        <v/>
      </c>
      <c r="J176" s="87">
        <f>I176/H176</f>
        <v/>
      </c>
      <c r="K176" s="88" t="inlineStr">
        <is>
          <t>Profit</t>
        </is>
      </c>
    </row>
    <row r="177" ht="15" customHeight="1" s="64">
      <c r="A177" s="89" t="inlineStr">
        <is>
          <t>TXN-176</t>
        </is>
      </c>
      <c r="B177" s="90" t="inlineStr">
        <is>
          <t>Sep 12, 2025</t>
        </is>
      </c>
      <c r="C177" s="90" t="inlineStr">
        <is>
          <t>Journey Together Booster Bundle</t>
        </is>
      </c>
      <c r="D177" s="89" t="inlineStr">
        <is>
          <t>Sealed</t>
        </is>
      </c>
      <c r="E177" s="89" t="inlineStr">
        <is>
          <t>Booster Pack Bundle</t>
        </is>
      </c>
      <c r="F177" s="89" t="inlineStr">
        <is>
          <t>TCGPlayer</t>
        </is>
      </c>
      <c r="G177" s="91" t="n">
        <v>27.34</v>
      </c>
      <c r="H177" s="91" t="n">
        <v>35.89</v>
      </c>
      <c r="I177" s="92">
        <f>H177-G177</f>
        <v/>
      </c>
      <c r="J177" s="93">
        <f>I177/H177</f>
        <v/>
      </c>
      <c r="K177" s="94" t="inlineStr">
        <is>
          <t>Profit</t>
        </is>
      </c>
    </row>
    <row r="178" ht="15" customHeight="1" s="64">
      <c r="A178" s="83" t="inlineStr">
        <is>
          <t>TXN-177</t>
        </is>
      </c>
      <c r="B178" s="84" t="inlineStr">
        <is>
          <t>Sep 14, 2025</t>
        </is>
      </c>
      <c r="C178" s="84" t="inlineStr">
        <is>
          <t>Shrouded Fable Booster Bundle</t>
        </is>
      </c>
      <c r="D178" s="83" t="inlineStr">
        <is>
          <t>Sealed</t>
        </is>
      </c>
      <c r="E178" s="83" t="inlineStr">
        <is>
          <t>Booster Pack Bundle</t>
        </is>
      </c>
      <c r="F178" s="83" t="inlineStr">
        <is>
          <t>eBay</t>
        </is>
      </c>
      <c r="G178" s="85" t="n">
        <v>24.51</v>
      </c>
      <c r="H178" s="85" t="n">
        <v>28.2</v>
      </c>
      <c r="I178" s="86">
        <f>H178-G178</f>
        <v/>
      </c>
      <c r="J178" s="87">
        <f>I178/H178</f>
        <v/>
      </c>
      <c r="K178" s="88" t="inlineStr">
        <is>
          <t>Profit</t>
        </is>
      </c>
    </row>
    <row r="179" ht="15" customHeight="1" s="64">
      <c r="A179" s="89" t="inlineStr">
        <is>
          <t>TXN-178</t>
        </is>
      </c>
      <c r="B179" s="90" t="inlineStr">
        <is>
          <t>Sep 14, 2025</t>
        </is>
      </c>
      <c r="C179" s="90" t="inlineStr">
        <is>
          <t>Blooming Waters Collection</t>
        </is>
      </c>
      <c r="D179" s="89" t="inlineStr">
        <is>
          <t>Sealed</t>
        </is>
      </c>
      <c r="E179" s="89" t="inlineStr">
        <is>
          <t>Special Products</t>
        </is>
      </c>
      <c r="F179" s="89" t="inlineStr">
        <is>
          <t>eBay</t>
        </is>
      </c>
      <c r="G179" s="91" t="n">
        <v>30.83</v>
      </c>
      <c r="H179" s="91" t="n">
        <v>41.81</v>
      </c>
      <c r="I179" s="92">
        <f>H179-G179</f>
        <v/>
      </c>
      <c r="J179" s="93">
        <f>I179/H179</f>
        <v/>
      </c>
      <c r="K179" s="94" t="inlineStr">
        <is>
          <t>Profit</t>
        </is>
      </c>
    </row>
    <row r="180" ht="15" customHeight="1" s="64">
      <c r="A180" s="83" t="inlineStr">
        <is>
          <t>TXN-179</t>
        </is>
      </c>
      <c r="B180" s="84" t="inlineStr">
        <is>
          <t>Sep 15, 2025</t>
        </is>
      </c>
      <c r="C180" s="84" t="inlineStr">
        <is>
          <t>Prismatic Evolutions Booster Bundle</t>
        </is>
      </c>
      <c r="D180" s="83" t="inlineStr">
        <is>
          <t>Sealed</t>
        </is>
      </c>
      <c r="E180" s="83" t="inlineStr">
        <is>
          <t>Booster Pack Bundle</t>
        </is>
      </c>
      <c r="F180" s="83" t="inlineStr">
        <is>
          <t>TCGPlayer</t>
        </is>
      </c>
      <c r="G180" s="85" t="n">
        <v>56.67</v>
      </c>
      <c r="H180" s="85" t="n">
        <v>71.20999999999999</v>
      </c>
      <c r="I180" s="86">
        <f>H180-G180</f>
        <v/>
      </c>
      <c r="J180" s="87">
        <f>I180/H180</f>
        <v/>
      </c>
      <c r="K180" s="88" t="inlineStr">
        <is>
          <t>Profit</t>
        </is>
      </c>
    </row>
    <row r="181" ht="15" customHeight="1" s="64">
      <c r="A181" s="89" t="inlineStr">
        <is>
          <t>TXN-180</t>
        </is>
      </c>
      <c r="B181" s="90" t="inlineStr">
        <is>
          <t>Sep 15, 2025</t>
        </is>
      </c>
      <c r="C181" s="90" t="inlineStr">
        <is>
          <t>Scarlet &amp; Violet 151 Booster Bundle</t>
        </is>
      </c>
      <c r="D181" s="89" t="inlineStr">
        <is>
          <t>Sealed</t>
        </is>
      </c>
      <c r="E181" s="89" t="inlineStr">
        <is>
          <t>Booster Pack Bundle</t>
        </is>
      </c>
      <c r="F181" s="89" t="inlineStr">
        <is>
          <t>TCGPlayer</t>
        </is>
      </c>
      <c r="G181" s="91" t="n">
        <v>34.43</v>
      </c>
      <c r="H181" s="91" t="n">
        <v>56.64</v>
      </c>
      <c r="I181" s="92">
        <f>H181-G181</f>
        <v/>
      </c>
      <c r="J181" s="93">
        <f>I181/H181</f>
        <v/>
      </c>
      <c r="K181" s="94" t="inlineStr">
        <is>
          <t>Profit</t>
        </is>
      </c>
    </row>
    <row r="182" ht="15" customHeight="1" s="64">
      <c r="A182" s="83" t="inlineStr">
        <is>
          <t>TXN-181</t>
        </is>
      </c>
      <c r="B182" s="84" t="inlineStr">
        <is>
          <t>Sep 15, 2025</t>
        </is>
      </c>
      <c r="C182" s="84" t="inlineStr">
        <is>
          <t>Destined Rivals Booster Bundle</t>
        </is>
      </c>
      <c r="D182" s="83" t="inlineStr">
        <is>
          <t>Sealed</t>
        </is>
      </c>
      <c r="E182" s="83" t="inlineStr">
        <is>
          <t>Booster Pack Bundle</t>
        </is>
      </c>
      <c r="F182" s="83" t="inlineStr">
        <is>
          <t>Facebook Marketplace</t>
        </is>
      </c>
      <c r="G182" s="85" t="n">
        <v>21.76</v>
      </c>
      <c r="H182" s="85" t="n">
        <v>30.72</v>
      </c>
      <c r="I182" s="86">
        <f>H182-G182</f>
        <v/>
      </c>
      <c r="J182" s="87">
        <f>I182/H182</f>
        <v/>
      </c>
      <c r="K182" s="88" t="inlineStr">
        <is>
          <t>Profit</t>
        </is>
      </c>
    </row>
    <row r="183" ht="15" customHeight="1" s="64">
      <c r="A183" s="89" t="inlineStr">
        <is>
          <t>TXN-182</t>
        </is>
      </c>
      <c r="B183" s="90" t="inlineStr">
        <is>
          <t>Sep 16, 2025</t>
        </is>
      </c>
      <c r="C183" s="90" t="inlineStr">
        <is>
          <t>Blooming Waters Collection</t>
        </is>
      </c>
      <c r="D183" s="89" t="inlineStr">
        <is>
          <t>Sealed</t>
        </is>
      </c>
      <c r="E183" s="89" t="inlineStr">
        <is>
          <t>Special Products</t>
        </is>
      </c>
      <c r="F183" s="89" t="inlineStr">
        <is>
          <t>TCGPlayer</t>
        </is>
      </c>
      <c r="G183" s="91" t="n">
        <v>28.51</v>
      </c>
      <c r="H183" s="91" t="n">
        <v>35.98</v>
      </c>
      <c r="I183" s="92">
        <f>H183-G183</f>
        <v/>
      </c>
      <c r="J183" s="93">
        <f>I183/H183</f>
        <v/>
      </c>
      <c r="K183" s="94" t="inlineStr">
        <is>
          <t>Profit</t>
        </is>
      </c>
    </row>
    <row r="184" ht="15" customHeight="1" s="64">
      <c r="A184" s="83" t="inlineStr">
        <is>
          <t>TXN-183</t>
        </is>
      </c>
      <c r="B184" s="84" t="inlineStr">
        <is>
          <t>Sep 16, 2025</t>
        </is>
      </c>
      <c r="C184" s="84" t="inlineStr">
        <is>
          <t>Scarlet &amp; Violet 151 Booster Bundle</t>
        </is>
      </c>
      <c r="D184" s="83" t="inlineStr">
        <is>
          <t>Sealed</t>
        </is>
      </c>
      <c r="E184" s="83" t="inlineStr">
        <is>
          <t>Booster Pack Bundle</t>
        </is>
      </c>
      <c r="F184" s="83" t="inlineStr">
        <is>
          <t>eBay</t>
        </is>
      </c>
      <c r="G184" s="85" t="n">
        <v>34.23</v>
      </c>
      <c r="H184" s="85" t="n">
        <v>56.46</v>
      </c>
      <c r="I184" s="86">
        <f>H184-G184</f>
        <v/>
      </c>
      <c r="J184" s="87">
        <f>I184/H184</f>
        <v/>
      </c>
      <c r="K184" s="88" t="inlineStr">
        <is>
          <t>Profit</t>
        </is>
      </c>
    </row>
    <row r="185" ht="15" customHeight="1" s="64">
      <c r="A185" s="89" t="inlineStr">
        <is>
          <t>TXN-184</t>
        </is>
      </c>
      <c r="B185" s="90" t="inlineStr">
        <is>
          <t>Sep 16, 2025</t>
        </is>
      </c>
      <c r="C185" s="90" t="inlineStr">
        <is>
          <t>Crown Zenith Tin</t>
        </is>
      </c>
      <c r="D185" s="89" t="inlineStr">
        <is>
          <t>Sealed</t>
        </is>
      </c>
      <c r="E185" s="89" t="inlineStr">
        <is>
          <t>Special Products</t>
        </is>
      </c>
      <c r="F185" s="89" t="inlineStr">
        <is>
          <t>eBay</t>
        </is>
      </c>
      <c r="G185" s="91" t="n">
        <v>20.29</v>
      </c>
      <c r="H185" s="91" t="n">
        <v>29.53</v>
      </c>
      <c r="I185" s="92">
        <f>H185-G185</f>
        <v/>
      </c>
      <c r="J185" s="93">
        <f>I185/H185</f>
        <v/>
      </c>
      <c r="K185" s="94" t="inlineStr">
        <is>
          <t>Profit</t>
        </is>
      </c>
    </row>
    <row r="186" ht="15" customHeight="1" s="64">
      <c r="A186" s="83" t="inlineStr">
        <is>
          <t>TXN-185</t>
        </is>
      </c>
      <c r="B186" s="84" t="inlineStr">
        <is>
          <t>Sep 16, 2025</t>
        </is>
      </c>
      <c r="C186" s="84" t="inlineStr">
        <is>
          <t>Prismatic Evolutions Special Collection</t>
        </is>
      </c>
      <c r="D186" s="83" t="inlineStr">
        <is>
          <t>Sealed</t>
        </is>
      </c>
      <c r="E186" s="83" t="inlineStr">
        <is>
          <t>Special Products</t>
        </is>
      </c>
      <c r="F186" s="83" t="inlineStr">
        <is>
          <t>eBay</t>
        </is>
      </c>
      <c r="G186" s="85" t="n">
        <v>62.58</v>
      </c>
      <c r="H186" s="85" t="n">
        <v>92.08</v>
      </c>
      <c r="I186" s="86">
        <f>H186-G186</f>
        <v/>
      </c>
      <c r="J186" s="87">
        <f>I186/H186</f>
        <v/>
      </c>
      <c r="K186" s="88" t="inlineStr">
        <is>
          <t>Profit</t>
        </is>
      </c>
    </row>
    <row r="187" ht="15" customHeight="1" s="64">
      <c r="A187" s="89" t="inlineStr">
        <is>
          <t>TXN-186</t>
        </is>
      </c>
      <c r="B187" s="90" t="inlineStr">
        <is>
          <t>Sep 17, 2025</t>
        </is>
      </c>
      <c r="C187" s="90" t="inlineStr">
        <is>
          <t>Shrouded Fable Booster Bundle</t>
        </is>
      </c>
      <c r="D187" s="89" t="inlineStr">
        <is>
          <t>Sealed</t>
        </is>
      </c>
      <c r="E187" s="89" t="inlineStr">
        <is>
          <t>Booster Pack Bundle</t>
        </is>
      </c>
      <c r="F187" s="89" t="inlineStr">
        <is>
          <t>eBay</t>
        </is>
      </c>
      <c r="G187" s="91" t="n">
        <v>23.72</v>
      </c>
      <c r="H187" s="91" t="n">
        <v>27.43</v>
      </c>
      <c r="I187" s="92">
        <f>H187-G187</f>
        <v/>
      </c>
      <c r="J187" s="93">
        <f>I187/H187</f>
        <v/>
      </c>
      <c r="K187" s="94" t="inlineStr">
        <is>
          <t>Profit</t>
        </is>
      </c>
    </row>
    <row r="188" ht="15" customHeight="1" s="64">
      <c r="A188" s="83" t="inlineStr">
        <is>
          <t>TXN-187</t>
        </is>
      </c>
      <c r="B188" s="84" t="inlineStr">
        <is>
          <t>Sep 17, 2025</t>
        </is>
      </c>
      <c r="C188" s="84" t="inlineStr">
        <is>
          <t>Scarlet &amp; Violet 151 Booster Bundle</t>
        </is>
      </c>
      <c r="D188" s="83" t="inlineStr">
        <is>
          <t>Sealed</t>
        </is>
      </c>
      <c r="E188" s="83" t="inlineStr">
        <is>
          <t>Booster Pack Bundle</t>
        </is>
      </c>
      <c r="F188" s="83" t="inlineStr">
        <is>
          <t>eBay</t>
        </is>
      </c>
      <c r="G188" s="85" t="n">
        <v>33.04</v>
      </c>
      <c r="H188" s="85" t="n">
        <v>45.1</v>
      </c>
      <c r="I188" s="86">
        <f>H188-G188</f>
        <v/>
      </c>
      <c r="J188" s="87">
        <f>I188/H188</f>
        <v/>
      </c>
      <c r="K188" s="88" t="inlineStr">
        <is>
          <t>Profit</t>
        </is>
      </c>
    </row>
    <row r="189" ht="15" customHeight="1" s="64">
      <c r="A189" s="89" t="inlineStr">
        <is>
          <t>TXN-188</t>
        </is>
      </c>
      <c r="B189" s="90" t="inlineStr">
        <is>
          <t>Sep 18, 2025</t>
        </is>
      </c>
      <c r="C189" s="90" t="inlineStr">
        <is>
          <t>Shrouded Fable Booster Bundle</t>
        </is>
      </c>
      <c r="D189" s="89" t="inlineStr">
        <is>
          <t>Sealed</t>
        </is>
      </c>
      <c r="E189" s="89" t="inlineStr">
        <is>
          <t>Booster Pack Bundle</t>
        </is>
      </c>
      <c r="F189" s="89" t="inlineStr">
        <is>
          <t>eBay</t>
        </is>
      </c>
      <c r="G189" s="91" t="n">
        <v>25.63</v>
      </c>
      <c r="H189" s="91" t="n">
        <v>29.76</v>
      </c>
      <c r="I189" s="92">
        <f>H189-G189</f>
        <v/>
      </c>
      <c r="J189" s="93">
        <f>I189/H189</f>
        <v/>
      </c>
      <c r="K189" s="94" t="inlineStr">
        <is>
          <t>Profit</t>
        </is>
      </c>
    </row>
    <row r="190" ht="15" customHeight="1" s="64">
      <c r="A190" s="83" t="inlineStr">
        <is>
          <t>TXN-189</t>
        </is>
      </c>
      <c r="B190" s="84" t="inlineStr">
        <is>
          <t>Sep 18, 2025</t>
        </is>
      </c>
      <c r="C190" s="84" t="inlineStr">
        <is>
          <t>Black Bolt Elite Trainer Box</t>
        </is>
      </c>
      <c r="D190" s="83" t="inlineStr">
        <is>
          <t>Sealed</t>
        </is>
      </c>
      <c r="E190" s="83" t="inlineStr">
        <is>
          <t>ETB</t>
        </is>
      </c>
      <c r="F190" s="83" t="inlineStr">
        <is>
          <t>Facebook Marketplace</t>
        </is>
      </c>
      <c r="G190" s="85" t="n">
        <v>82.18000000000001</v>
      </c>
      <c r="H190" s="85" t="n">
        <v>99.90000000000001</v>
      </c>
      <c r="I190" s="86">
        <f>H190-G190</f>
        <v/>
      </c>
      <c r="J190" s="87">
        <f>I190/H190</f>
        <v/>
      </c>
      <c r="K190" s="88" t="inlineStr">
        <is>
          <t>Profit</t>
        </is>
      </c>
    </row>
    <row r="191" ht="15" customHeight="1" s="64">
      <c r="A191" s="89" t="inlineStr">
        <is>
          <t>TXN-190</t>
        </is>
      </c>
      <c r="B191" s="90" t="inlineStr">
        <is>
          <t>Sep 19, 2025</t>
        </is>
      </c>
      <c r="C191" s="90" t="inlineStr">
        <is>
          <t>Surging Sparks Booster Bundle</t>
        </is>
      </c>
      <c r="D191" s="89" t="inlineStr">
        <is>
          <t>Sealed</t>
        </is>
      </c>
      <c r="E191" s="89" t="inlineStr">
        <is>
          <t>Booster Pack Bundle</t>
        </is>
      </c>
      <c r="F191" s="89" t="inlineStr">
        <is>
          <t>Facebook Marketplace</t>
        </is>
      </c>
      <c r="G191" s="91" t="n">
        <v>28.42</v>
      </c>
      <c r="H191" s="91" t="n">
        <v>33.62</v>
      </c>
      <c r="I191" s="92">
        <f>H191-G191</f>
        <v/>
      </c>
      <c r="J191" s="93">
        <f>I191/H191</f>
        <v/>
      </c>
      <c r="K191" s="94" t="inlineStr">
        <is>
          <t>Profit</t>
        </is>
      </c>
    </row>
    <row r="192" ht="15" customHeight="1" s="64">
      <c r="A192" s="95" t="inlineStr">
        <is>
          <t>TXN-191</t>
        </is>
      </c>
      <c r="B192" s="96" t="inlineStr">
        <is>
          <t>Sep 20, 2025</t>
        </is>
      </c>
      <c r="C192" s="96" t="inlineStr">
        <is>
          <t>Surging Sparks Booster Bundle</t>
        </is>
      </c>
      <c r="D192" s="95" t="inlineStr">
        <is>
          <t>Sealed</t>
        </is>
      </c>
      <c r="E192" s="95" t="inlineStr">
        <is>
          <t>Booster Pack Bundle</t>
        </is>
      </c>
      <c r="F192" s="95" t="inlineStr">
        <is>
          <t>TCGPlayer</t>
        </is>
      </c>
      <c r="G192" s="97" t="n">
        <v>22.85</v>
      </c>
      <c r="H192" s="97" t="n">
        <v>21.17</v>
      </c>
      <c r="I192" s="98">
        <f>H192-G192</f>
        <v/>
      </c>
      <c r="J192" s="99">
        <f>I192/H192</f>
        <v/>
      </c>
      <c r="K192" s="100" t="inlineStr">
        <is>
          <t>Loss</t>
        </is>
      </c>
    </row>
    <row r="193" ht="15" customHeight="1" s="64">
      <c r="A193" s="89" t="inlineStr">
        <is>
          <t>TXN-192</t>
        </is>
      </c>
      <c r="B193" s="90" t="inlineStr">
        <is>
          <t>Sep 20, 2025</t>
        </is>
      </c>
      <c r="C193" s="90" t="inlineStr">
        <is>
          <t>Crown Zenith Tin</t>
        </is>
      </c>
      <c r="D193" s="89" t="inlineStr">
        <is>
          <t>Sealed</t>
        </is>
      </c>
      <c r="E193" s="89" t="inlineStr">
        <is>
          <t>Special Products</t>
        </is>
      </c>
      <c r="F193" s="89" t="inlineStr">
        <is>
          <t>eBay</t>
        </is>
      </c>
      <c r="G193" s="91" t="n">
        <v>20.84</v>
      </c>
      <c r="H193" s="91" t="n">
        <v>37.99</v>
      </c>
      <c r="I193" s="92">
        <f>H193-G193</f>
        <v/>
      </c>
      <c r="J193" s="93">
        <f>I193/H193</f>
        <v/>
      </c>
      <c r="K193" s="94" t="inlineStr">
        <is>
          <t>Profit</t>
        </is>
      </c>
    </row>
    <row r="194" ht="15" customHeight="1" s="64">
      <c r="A194" s="83" t="inlineStr">
        <is>
          <t>TXN-193</t>
        </is>
      </c>
      <c r="B194" s="84" t="inlineStr">
        <is>
          <t>Sep 20, 2025</t>
        </is>
      </c>
      <c r="C194" s="84" t="inlineStr">
        <is>
          <t>Stellar Crown Elite Trainer Box</t>
        </is>
      </c>
      <c r="D194" s="83" t="inlineStr">
        <is>
          <t>Sealed</t>
        </is>
      </c>
      <c r="E194" s="83" t="inlineStr">
        <is>
          <t>ETB</t>
        </is>
      </c>
      <c r="F194" s="83" t="inlineStr">
        <is>
          <t>eBay</t>
        </is>
      </c>
      <c r="G194" s="85" t="n">
        <v>57.18</v>
      </c>
      <c r="H194" s="85" t="n">
        <v>66.34999999999999</v>
      </c>
      <c r="I194" s="86">
        <f>H194-G194</f>
        <v/>
      </c>
      <c r="J194" s="87">
        <f>I194/H194</f>
        <v/>
      </c>
      <c r="K194" s="88" t="inlineStr">
        <is>
          <t>Profit</t>
        </is>
      </c>
    </row>
    <row r="195" ht="15" customHeight="1" s="64">
      <c r="A195" s="95" t="inlineStr">
        <is>
          <t>TXN-194</t>
        </is>
      </c>
      <c r="B195" s="96" t="inlineStr">
        <is>
          <t>Sep 21, 2025</t>
        </is>
      </c>
      <c r="C195" s="96" t="inlineStr">
        <is>
          <t>White Flare Elite Trainer Box</t>
        </is>
      </c>
      <c r="D195" s="95" t="inlineStr">
        <is>
          <t>Sealed</t>
        </is>
      </c>
      <c r="E195" s="95" t="inlineStr">
        <is>
          <t>ETB</t>
        </is>
      </c>
      <c r="F195" s="95" t="inlineStr">
        <is>
          <t>eBay</t>
        </is>
      </c>
      <c r="G195" s="97" t="n">
        <v>50.89</v>
      </c>
      <c r="H195" s="97" t="n">
        <v>47.36</v>
      </c>
      <c r="I195" s="98">
        <f>H195-G195</f>
        <v/>
      </c>
      <c r="J195" s="99">
        <f>I195/H195</f>
        <v/>
      </c>
      <c r="K195" s="100" t="inlineStr">
        <is>
          <t>Loss</t>
        </is>
      </c>
    </row>
    <row r="196" ht="15" customHeight="1" s="64">
      <c r="A196" s="83" t="inlineStr">
        <is>
          <t>TXN-195</t>
        </is>
      </c>
      <c r="B196" s="84" t="inlineStr">
        <is>
          <t>Sep 22, 2025</t>
        </is>
      </c>
      <c r="C196" s="84" t="inlineStr">
        <is>
          <t>Journey Together Booster Bundle</t>
        </is>
      </c>
      <c r="D196" s="83" t="inlineStr">
        <is>
          <t>Sealed</t>
        </is>
      </c>
      <c r="E196" s="83" t="inlineStr">
        <is>
          <t>Booster Pack Bundle</t>
        </is>
      </c>
      <c r="F196" s="83" t="inlineStr">
        <is>
          <t>eBay</t>
        </is>
      </c>
      <c r="G196" s="85" t="n">
        <v>25</v>
      </c>
      <c r="H196" s="85" t="n">
        <v>33.86</v>
      </c>
      <c r="I196" s="86">
        <f>H196-G196</f>
        <v/>
      </c>
      <c r="J196" s="87">
        <f>I196/H196</f>
        <v/>
      </c>
      <c r="K196" s="88" t="inlineStr">
        <is>
          <t>Profit</t>
        </is>
      </c>
    </row>
    <row r="197" ht="15" customHeight="1" s="64">
      <c r="A197" s="89" t="inlineStr">
        <is>
          <t>TXN-196</t>
        </is>
      </c>
      <c r="B197" s="90" t="inlineStr">
        <is>
          <t>Sep 22, 2025</t>
        </is>
      </c>
      <c r="C197" s="90" t="inlineStr">
        <is>
          <t>Journey Together Booster Bundle</t>
        </is>
      </c>
      <c r="D197" s="89" t="inlineStr">
        <is>
          <t>Sealed</t>
        </is>
      </c>
      <c r="E197" s="89" t="inlineStr">
        <is>
          <t>Booster Pack Bundle</t>
        </is>
      </c>
      <c r="F197" s="89" t="inlineStr">
        <is>
          <t>TCGPlayer</t>
        </is>
      </c>
      <c r="G197" s="91" t="n">
        <v>23.87</v>
      </c>
      <c r="H197" s="91" t="n">
        <v>31.49</v>
      </c>
      <c r="I197" s="92">
        <f>H197-G197</f>
        <v/>
      </c>
      <c r="J197" s="93">
        <f>I197/H197</f>
        <v/>
      </c>
      <c r="K197" s="94" t="inlineStr">
        <is>
          <t>Profit</t>
        </is>
      </c>
    </row>
    <row r="198" ht="15" customHeight="1" s="64">
      <c r="A198" s="95" t="inlineStr">
        <is>
          <t>TXN-197</t>
        </is>
      </c>
      <c r="B198" s="96" t="inlineStr">
        <is>
          <t>Sep 22, 2025</t>
        </is>
      </c>
      <c r="C198" s="96" t="inlineStr">
        <is>
          <t>Scarlet &amp; Violet 151 Booster Bundle</t>
        </is>
      </c>
      <c r="D198" s="95" t="inlineStr">
        <is>
          <t>Sealed</t>
        </is>
      </c>
      <c r="E198" s="95" t="inlineStr">
        <is>
          <t>Booster Pack Bundle</t>
        </is>
      </c>
      <c r="F198" s="95" t="inlineStr">
        <is>
          <t>Facebook Marketplace</t>
        </is>
      </c>
      <c r="G198" s="97" t="n">
        <v>36.07</v>
      </c>
      <c r="H198" s="97" t="n">
        <v>33.21</v>
      </c>
      <c r="I198" s="98">
        <f>H198-G198</f>
        <v/>
      </c>
      <c r="J198" s="99">
        <f>I198/H198</f>
        <v/>
      </c>
      <c r="K198" s="100" t="inlineStr">
        <is>
          <t>Loss</t>
        </is>
      </c>
    </row>
    <row r="199" ht="15" customHeight="1" s="64">
      <c r="A199" s="89" t="inlineStr">
        <is>
          <t>TXN-198</t>
        </is>
      </c>
      <c r="B199" s="90" t="inlineStr">
        <is>
          <t>Sep 23, 2025</t>
        </is>
      </c>
      <c r="C199" s="90" t="inlineStr">
        <is>
          <t>Crown Zenith Tin</t>
        </is>
      </c>
      <c r="D199" s="89" t="inlineStr">
        <is>
          <t>Sealed</t>
        </is>
      </c>
      <c r="E199" s="89" t="inlineStr">
        <is>
          <t>Special Products</t>
        </is>
      </c>
      <c r="F199" s="89" t="inlineStr">
        <is>
          <t>TCGPlayer</t>
        </is>
      </c>
      <c r="G199" s="91" t="n">
        <v>27.75</v>
      </c>
      <c r="H199" s="91" t="n">
        <v>32.8</v>
      </c>
      <c r="I199" s="92">
        <f>H199-G199</f>
        <v/>
      </c>
      <c r="J199" s="93">
        <f>I199/H199</f>
        <v/>
      </c>
      <c r="K199" s="94" t="inlineStr">
        <is>
          <t>Profit</t>
        </is>
      </c>
    </row>
    <row r="200" ht="15" customHeight="1" s="64">
      <c r="A200" s="83" t="inlineStr">
        <is>
          <t>TXN-199</t>
        </is>
      </c>
      <c r="B200" s="84" t="inlineStr">
        <is>
          <t>Sep 23, 2025</t>
        </is>
      </c>
      <c r="C200" s="84" t="inlineStr">
        <is>
          <t>Prismatic Evolutions Elite Trainer Box</t>
        </is>
      </c>
      <c r="D200" s="83" t="inlineStr">
        <is>
          <t>Sealed</t>
        </is>
      </c>
      <c r="E200" s="83" t="inlineStr">
        <is>
          <t>ETB</t>
        </is>
      </c>
      <c r="F200" s="83" t="inlineStr">
        <is>
          <t>TCGPlayer</t>
        </is>
      </c>
      <c r="G200" s="85" t="n">
        <v>65.19</v>
      </c>
      <c r="H200" s="85" t="n">
        <v>80.15000000000001</v>
      </c>
      <c r="I200" s="86">
        <f>H200-G200</f>
        <v/>
      </c>
      <c r="J200" s="87">
        <f>I200/H200</f>
        <v/>
      </c>
      <c r="K200" s="88" t="inlineStr">
        <is>
          <t>Profit</t>
        </is>
      </c>
    </row>
    <row r="201" ht="15" customHeight="1" s="64">
      <c r="A201" s="89" t="inlineStr">
        <is>
          <t>TXN-200</t>
        </is>
      </c>
      <c r="B201" s="90" t="inlineStr">
        <is>
          <t>Sep 24, 2025</t>
        </is>
      </c>
      <c r="C201" s="90" t="inlineStr">
        <is>
          <t>Blooming Waters Collection</t>
        </is>
      </c>
      <c r="D201" s="89" t="inlineStr">
        <is>
          <t>Sealed</t>
        </is>
      </c>
      <c r="E201" s="89" t="inlineStr">
        <is>
          <t>Special Products</t>
        </is>
      </c>
      <c r="F201" s="89" t="inlineStr">
        <is>
          <t>Facebook Marketplace</t>
        </is>
      </c>
      <c r="G201" s="91" t="n">
        <v>31.76</v>
      </c>
      <c r="H201" s="91" t="n">
        <v>41.23</v>
      </c>
      <c r="I201" s="92">
        <f>H201-G201</f>
        <v/>
      </c>
      <c r="J201" s="93">
        <f>I201/H201</f>
        <v/>
      </c>
      <c r="K201" s="94" t="inlineStr">
        <is>
          <t>Profit</t>
        </is>
      </c>
    </row>
    <row r="202" ht="15" customHeight="1" s="64">
      <c r="A202" s="83" t="inlineStr">
        <is>
          <t>TXN-201</t>
        </is>
      </c>
      <c r="B202" s="84" t="inlineStr">
        <is>
          <t>Sep 25, 2025</t>
        </is>
      </c>
      <c r="C202" s="84" t="inlineStr">
        <is>
          <t>White Flare Elite Trainer Box</t>
        </is>
      </c>
      <c r="D202" s="83" t="inlineStr">
        <is>
          <t>Sealed</t>
        </is>
      </c>
      <c r="E202" s="83" t="inlineStr">
        <is>
          <t>ETB</t>
        </is>
      </c>
      <c r="F202" s="83" t="inlineStr">
        <is>
          <t>eBay</t>
        </is>
      </c>
      <c r="G202" s="85" t="n">
        <v>51.12</v>
      </c>
      <c r="H202" s="85" t="n">
        <v>82.06999999999999</v>
      </c>
      <c r="I202" s="86">
        <f>H202-G202</f>
        <v/>
      </c>
      <c r="J202" s="87">
        <f>I202/H202</f>
        <v/>
      </c>
      <c r="K202" s="88" t="inlineStr">
        <is>
          <t>Profit</t>
        </is>
      </c>
    </row>
    <row r="203" ht="15" customHeight="1" s="64">
      <c r="A203" s="89" t="inlineStr">
        <is>
          <t>TXN-202</t>
        </is>
      </c>
      <c r="B203" s="90" t="inlineStr">
        <is>
          <t>Sep 25, 2025</t>
        </is>
      </c>
      <c r="C203" s="90" t="inlineStr">
        <is>
          <t>Surging Sparks Booster Bundle</t>
        </is>
      </c>
      <c r="D203" s="89" t="inlineStr">
        <is>
          <t>Sealed</t>
        </is>
      </c>
      <c r="E203" s="89" t="inlineStr">
        <is>
          <t>Booster Pack Bundle</t>
        </is>
      </c>
      <c r="F203" s="89" t="inlineStr">
        <is>
          <t>TCGPlayer</t>
        </is>
      </c>
      <c r="G203" s="91" t="n">
        <v>26.24</v>
      </c>
      <c r="H203" s="91" t="n">
        <v>41.69</v>
      </c>
      <c r="I203" s="92">
        <f>H203-G203</f>
        <v/>
      </c>
      <c r="J203" s="93">
        <f>I203/H203</f>
        <v/>
      </c>
      <c r="K203" s="94" t="inlineStr">
        <is>
          <t>Profit</t>
        </is>
      </c>
    </row>
    <row r="204" ht="15" customHeight="1" s="64">
      <c r="A204" s="83" t="inlineStr">
        <is>
          <t>TXN-203</t>
        </is>
      </c>
      <c r="B204" s="84" t="inlineStr">
        <is>
          <t>Sep 25, 2025</t>
        </is>
      </c>
      <c r="C204" s="84" t="inlineStr">
        <is>
          <t>Crown Zenith Tin</t>
        </is>
      </c>
      <c r="D204" s="83" t="inlineStr">
        <is>
          <t>Sealed</t>
        </is>
      </c>
      <c r="E204" s="83" t="inlineStr">
        <is>
          <t>Special Products</t>
        </is>
      </c>
      <c r="F204" s="83" t="inlineStr">
        <is>
          <t>Facebook Marketplace</t>
        </is>
      </c>
      <c r="G204" s="85" t="n">
        <v>21.98</v>
      </c>
      <c r="H204" s="85" t="n">
        <v>43.4</v>
      </c>
      <c r="I204" s="86">
        <f>H204-G204</f>
        <v/>
      </c>
      <c r="J204" s="87">
        <f>I204/H204</f>
        <v/>
      </c>
      <c r="K204" s="88" t="inlineStr">
        <is>
          <t>Profit</t>
        </is>
      </c>
    </row>
    <row r="205" ht="15" customHeight="1" s="64">
      <c r="A205" s="89" t="inlineStr">
        <is>
          <t>TXN-204</t>
        </is>
      </c>
      <c r="B205" s="90" t="inlineStr">
        <is>
          <t>Sep 26, 2025</t>
        </is>
      </c>
      <c r="C205" s="90" t="inlineStr">
        <is>
          <t>Destined Rivals Booster Bundle</t>
        </is>
      </c>
      <c r="D205" s="89" t="inlineStr">
        <is>
          <t>Sealed</t>
        </is>
      </c>
      <c r="E205" s="89" t="inlineStr">
        <is>
          <t>Booster Pack Bundle</t>
        </is>
      </c>
      <c r="F205" s="89" t="inlineStr">
        <is>
          <t>eBay</t>
        </is>
      </c>
      <c r="G205" s="91" t="n">
        <v>26.02</v>
      </c>
      <c r="H205" s="91" t="n">
        <v>38.53</v>
      </c>
      <c r="I205" s="92">
        <f>H205-G205</f>
        <v/>
      </c>
      <c r="J205" s="93">
        <f>I205/H205</f>
        <v/>
      </c>
      <c r="K205" s="94" t="inlineStr">
        <is>
          <t>Profit</t>
        </is>
      </c>
    </row>
    <row r="206" ht="15" customHeight="1" s="64">
      <c r="A206" s="83" t="inlineStr">
        <is>
          <t>TXN-205</t>
        </is>
      </c>
      <c r="B206" s="84" t="inlineStr">
        <is>
          <t>Sep 26, 2025</t>
        </is>
      </c>
      <c r="C206" s="84" t="inlineStr">
        <is>
          <t>Shrouded Fable Booster Bundle</t>
        </is>
      </c>
      <c r="D206" s="83" t="inlineStr">
        <is>
          <t>Sealed</t>
        </is>
      </c>
      <c r="E206" s="83" t="inlineStr">
        <is>
          <t>Booster Pack Bundle</t>
        </is>
      </c>
      <c r="F206" s="83" t="inlineStr">
        <is>
          <t>TCGPlayer</t>
        </is>
      </c>
      <c r="G206" s="85" t="n">
        <v>25.44</v>
      </c>
      <c r="H206" s="85" t="n">
        <v>35.97</v>
      </c>
      <c r="I206" s="86">
        <f>H206-G206</f>
        <v/>
      </c>
      <c r="J206" s="87">
        <f>I206/H206</f>
        <v/>
      </c>
      <c r="K206" s="88" t="inlineStr">
        <is>
          <t>Profit</t>
        </is>
      </c>
    </row>
    <row r="207" ht="15" customHeight="1" s="64">
      <c r="A207" s="89" t="inlineStr">
        <is>
          <t>TXN-206</t>
        </is>
      </c>
      <c r="B207" s="90" t="inlineStr">
        <is>
          <t>Sep 27, 2025</t>
        </is>
      </c>
      <c r="C207" s="90" t="inlineStr">
        <is>
          <t>Prismatic Evolutions Booster Bundle</t>
        </is>
      </c>
      <c r="D207" s="89" t="inlineStr">
        <is>
          <t>Sealed</t>
        </is>
      </c>
      <c r="E207" s="89" t="inlineStr">
        <is>
          <t>Booster Pack Bundle</t>
        </is>
      </c>
      <c r="F207" s="89" t="inlineStr">
        <is>
          <t>TCGPlayer</t>
        </is>
      </c>
      <c r="G207" s="91" t="n">
        <v>60.52</v>
      </c>
      <c r="H207" s="91" t="n">
        <v>72.59999999999999</v>
      </c>
      <c r="I207" s="92">
        <f>H207-G207</f>
        <v/>
      </c>
      <c r="J207" s="93">
        <f>I207/H207</f>
        <v/>
      </c>
      <c r="K207" s="94" t="inlineStr">
        <is>
          <t>Profit</t>
        </is>
      </c>
    </row>
    <row r="208" ht="15" customHeight="1" s="64">
      <c r="A208" s="83" t="inlineStr">
        <is>
          <t>TXN-207</t>
        </is>
      </c>
      <c r="B208" s="84" t="inlineStr">
        <is>
          <t>Sep 28, 2025</t>
        </is>
      </c>
      <c r="C208" s="84" t="inlineStr">
        <is>
          <t>Stellar Crown Elite Trainer Box</t>
        </is>
      </c>
      <c r="D208" s="83" t="inlineStr">
        <is>
          <t>Sealed</t>
        </is>
      </c>
      <c r="E208" s="83" t="inlineStr">
        <is>
          <t>ETB</t>
        </is>
      </c>
      <c r="F208" s="83" t="inlineStr">
        <is>
          <t>eBay</t>
        </is>
      </c>
      <c r="G208" s="85" t="n">
        <v>64.17</v>
      </c>
      <c r="H208" s="85" t="n">
        <v>87.5</v>
      </c>
      <c r="I208" s="86">
        <f>H208-G208</f>
        <v/>
      </c>
      <c r="J208" s="87">
        <f>I208/H208</f>
        <v/>
      </c>
      <c r="K208" s="88" t="inlineStr">
        <is>
          <t>Profit</t>
        </is>
      </c>
    </row>
    <row r="209" ht="15" customHeight="1" s="64">
      <c r="A209" s="89" t="inlineStr">
        <is>
          <t>TXN-208</t>
        </is>
      </c>
      <c r="B209" s="90" t="inlineStr">
        <is>
          <t>Sep 28, 2025</t>
        </is>
      </c>
      <c r="C209" s="90" t="inlineStr">
        <is>
          <t>Stellar Crown Elite Trainer Box</t>
        </is>
      </c>
      <c r="D209" s="89" t="inlineStr">
        <is>
          <t>Sealed</t>
        </is>
      </c>
      <c r="E209" s="89" t="inlineStr">
        <is>
          <t>ETB</t>
        </is>
      </c>
      <c r="F209" s="89" t="inlineStr">
        <is>
          <t>TCGPlayer</t>
        </is>
      </c>
      <c r="G209" s="91" t="n">
        <v>68.81</v>
      </c>
      <c r="H209" s="91" t="n">
        <v>84.15000000000001</v>
      </c>
      <c r="I209" s="92">
        <f>H209-G209</f>
        <v/>
      </c>
      <c r="J209" s="93">
        <f>I209/H209</f>
        <v/>
      </c>
      <c r="K209" s="94" t="inlineStr">
        <is>
          <t>Profit</t>
        </is>
      </c>
    </row>
    <row r="210" ht="15" customHeight="1" s="64">
      <c r="A210" s="95" t="inlineStr">
        <is>
          <t>TXN-209</t>
        </is>
      </c>
      <c r="B210" s="96" t="inlineStr">
        <is>
          <t>Sep 29, 2025</t>
        </is>
      </c>
      <c r="C210" s="96" t="inlineStr">
        <is>
          <t>Blooming Waters Collection</t>
        </is>
      </c>
      <c r="D210" s="95" t="inlineStr">
        <is>
          <t>Sealed</t>
        </is>
      </c>
      <c r="E210" s="95" t="inlineStr">
        <is>
          <t>Special Products</t>
        </is>
      </c>
      <c r="F210" s="95" t="inlineStr">
        <is>
          <t>eBay</t>
        </is>
      </c>
      <c r="G210" s="97" t="n">
        <v>29.87</v>
      </c>
      <c r="H210" s="97" t="n">
        <v>26.62</v>
      </c>
      <c r="I210" s="98">
        <f>H210-G210</f>
        <v/>
      </c>
      <c r="J210" s="99">
        <f>I210/H210</f>
        <v/>
      </c>
      <c r="K210" s="100" t="inlineStr">
        <is>
          <t>Loss</t>
        </is>
      </c>
    </row>
    <row r="211" ht="15" customHeight="1" s="64">
      <c r="A211" s="89" t="inlineStr">
        <is>
          <t>TXN-210</t>
        </is>
      </c>
      <c r="B211" s="90" t="inlineStr">
        <is>
          <t>Sep 29, 2025</t>
        </is>
      </c>
      <c r="C211" s="90" t="inlineStr">
        <is>
          <t>White Flare Elite Trainer Box</t>
        </is>
      </c>
      <c r="D211" s="89" t="inlineStr">
        <is>
          <t>Sealed</t>
        </is>
      </c>
      <c r="E211" s="89" t="inlineStr">
        <is>
          <t>ETB</t>
        </is>
      </c>
      <c r="F211" s="89" t="inlineStr">
        <is>
          <t>eBay</t>
        </is>
      </c>
      <c r="G211" s="91" t="n">
        <v>53.2</v>
      </c>
      <c r="H211" s="91" t="n">
        <v>73.56</v>
      </c>
      <c r="I211" s="92">
        <f>H211-G211</f>
        <v/>
      </c>
      <c r="J211" s="93">
        <f>I211/H211</f>
        <v/>
      </c>
      <c r="K211" s="94" t="inlineStr">
        <is>
          <t>Profit</t>
        </is>
      </c>
    </row>
    <row r="212" ht="15" customHeight="1" s="64">
      <c r="A212" s="83" t="inlineStr">
        <is>
          <t>TXN-211</t>
        </is>
      </c>
      <c r="B212" s="84" t="inlineStr">
        <is>
          <t>Sep 29, 2025</t>
        </is>
      </c>
      <c r="C212" s="84" t="inlineStr">
        <is>
          <t>Destined Rivals Booster Bundle</t>
        </is>
      </c>
      <c r="D212" s="83" t="inlineStr">
        <is>
          <t>Sealed</t>
        </is>
      </c>
      <c r="E212" s="83" t="inlineStr">
        <is>
          <t>Booster Pack Bundle</t>
        </is>
      </c>
      <c r="F212" s="83" t="inlineStr">
        <is>
          <t>eBay</t>
        </is>
      </c>
      <c r="G212" s="85" t="n">
        <v>28.45</v>
      </c>
      <c r="H212" s="85" t="n">
        <v>37.85</v>
      </c>
      <c r="I212" s="86">
        <f>H212-G212</f>
        <v/>
      </c>
      <c r="J212" s="87">
        <f>I212/H212</f>
        <v/>
      </c>
      <c r="K212" s="88" t="inlineStr">
        <is>
          <t>Profit</t>
        </is>
      </c>
    </row>
    <row r="213" ht="19.5" customHeight="1" s="64">
      <c r="A213" s="101" t="inlineStr">
        <is>
          <t>Total</t>
        </is>
      </c>
      <c r="B213" s="102" t="n"/>
      <c r="C213" s="102" t="n"/>
      <c r="D213" s="102" t="n"/>
      <c r="E213" s="102" t="n"/>
      <c r="F213" s="102" t="n"/>
      <c r="G213" s="103">
        <f>SUM(G2:G212)</f>
        <v/>
      </c>
      <c r="H213" s="103">
        <f>SUM(H2:H212)</f>
        <v/>
      </c>
      <c r="I213" s="103">
        <f>SUM(I2:I212)</f>
        <v/>
      </c>
      <c r="J213" s="104" t="n"/>
      <c r="K213" s="104" t="n"/>
    </row>
  </sheetData>
  <autoFilter ref="A1:K2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3" min="1" max="1"/>
    <col width="14" customWidth="1" style="63" min="2" max="2"/>
    <col width="12" customWidth="1" style="63" min="3" max="3"/>
    <col width="14" customWidth="1" style="63" min="4" max="6"/>
    <col width="12" customWidth="1" style="63" min="7" max="7"/>
    <col width="30" customWidth="1" style="63" min="8" max="8"/>
  </cols>
  <sheetData>
    <row r="1" ht="30" customHeight="1" s="64">
      <c r="A1" s="105" t="inlineStr">
        <is>
          <t>Product Breakdown</t>
        </is>
      </c>
    </row>
    <row r="3" ht="19.5" customHeight="1" s="64">
      <c r="A3" s="74" t="inlineStr">
        <is>
          <t>By product type</t>
        </is>
      </c>
      <c r="B3" s="75" t="n"/>
      <c r="C3" s="75" t="n"/>
      <c r="D3" s="75" t="n"/>
      <c r="E3" s="75" t="n"/>
      <c r="F3" s="75" t="n"/>
      <c r="G3" s="75" t="n"/>
      <c r="H3" s="75" t="n"/>
    </row>
    <row r="4" ht="16.5" customHeight="1" s="64">
      <c r="A4" s="106" t="n"/>
      <c r="B4" s="107" t="inlineStr">
        <is>
          <t>Sales</t>
        </is>
      </c>
      <c r="C4" s="107" t="inlineStr">
        <is>
          <t>Revenue</t>
        </is>
      </c>
      <c r="D4" s="107" t="inlineStr">
        <is>
          <t>Cost</t>
        </is>
      </c>
      <c r="E4" s="107" t="inlineStr">
        <is>
          <t>Profit</t>
        </is>
      </c>
      <c r="F4" s="107" t="inlineStr">
        <is>
          <t>Avg margin</t>
        </is>
      </c>
      <c r="G4" s="107" t="inlineStr">
        <is>
          <t>Avg sale price</t>
        </is>
      </c>
      <c r="H4" s="107" t="inlineStr">
        <is>
          <t>Notes</t>
        </is>
      </c>
    </row>
    <row r="5" ht="21.75" customHeight="1" s="64">
      <c r="A5" s="108" t="inlineStr">
        <is>
          <t>ETB</t>
        </is>
      </c>
      <c r="B5" s="109" t="n">
        <v>61</v>
      </c>
      <c r="C5" s="91" t="n">
        <v>5752.16</v>
      </c>
      <c r="D5" s="91" t="n">
        <v>4514.87</v>
      </c>
      <c r="E5" s="110" t="n">
        <v>1237.29</v>
      </c>
      <c r="F5" s="93" t="n">
        <v>0.2151</v>
      </c>
      <c r="G5" s="91" t="n">
        <v>88.13</v>
      </c>
      <c r="H5" s="111" t="inlineStr">
        <is>
          <t>Best profit driver. Black Bolt and White Flare ETBs had the highest margins right after release.</t>
        </is>
      </c>
    </row>
    <row r="6" ht="21.75" customHeight="1" s="64">
      <c r="A6" s="112" t="inlineStr">
        <is>
          <t>Booster Pack Bundle</t>
        </is>
      </c>
      <c r="B6" s="113" t="n">
        <v>96</v>
      </c>
      <c r="C6" s="85" t="n">
        <v>4166.81</v>
      </c>
      <c r="D6" s="85" t="n">
        <v>3294.28</v>
      </c>
      <c r="E6" s="114" t="n">
        <v>872.53</v>
      </c>
      <c r="F6" s="87" t="n">
        <v>0.2094</v>
      </c>
      <c r="G6" s="85" t="n">
        <v>41.33</v>
      </c>
      <c r="H6" s="115" t="inlineStr">
        <is>
          <t>Highest volume. Quick to flip but margins are tighter - about 23% avg.</t>
        </is>
      </c>
    </row>
    <row r="7" ht="21.75" customHeight="1" s="64">
      <c r="A7" s="108" t="inlineStr">
        <is>
          <t>Premium Collection</t>
        </is>
      </c>
      <c r="B7" s="109" t="n">
        <v>36</v>
      </c>
      <c r="C7" s="91" t="n">
        <v>2392.79</v>
      </c>
      <c r="D7" s="91" t="n">
        <v>1791.96</v>
      </c>
      <c r="E7" s="110" t="n">
        <v>600.83</v>
      </c>
      <c r="F7" s="93" t="n">
        <v>0.2511</v>
      </c>
      <c r="G7" s="91" t="n">
        <v>58</v>
      </c>
      <c r="H7" s="111" t="inlineStr">
        <is>
          <t>Special collections and promo sets. Prismatic Evolutions Special Collection drove the majority of profit in this category.</t>
        </is>
      </c>
    </row>
    <row r="8" ht="9.75" customHeight="1" s="64">
      <c r="A8" s="108" t="inlineStr">
        <is>
          <t>Tin</t>
        </is>
      </c>
      <c r="B8" s="109" t="n">
        <v>18</v>
      </c>
      <c r="C8" s="91" t="n">
        <v>692.87</v>
      </c>
      <c r="D8" s="91" t="n">
        <v>492.63</v>
      </c>
      <c r="E8" s="110" t="n">
        <v>200.24</v>
      </c>
      <c r="F8" s="93" t="n">
        <v>0.289</v>
      </c>
      <c r="G8" s="91" t="n">
        <v>35</v>
      </c>
      <c r="H8" s="111" t="inlineStr">
        <is>
          <t>Crown Zenith Tins. Strong margins at ~28.9% despite lower price points. Good filler between bigger releases.</t>
        </is>
      </c>
    </row>
    <row r="9" ht="18" customHeight="1" s="64">
      <c r="A9" s="63" t="n"/>
    </row>
    <row r="10" ht="15.75" customHeight="1" s="64"/>
    <row r="11" ht="21.75" customHeight="1" s="64"/>
    <row r="12" ht="21.75" customHeight="1" s="64"/>
    <row r="13" ht="21.75" customHeight="1" s="64"/>
    <row r="14" ht="21.75" customHeight="1" s="64"/>
    <row r="15" ht="21.75" customHeight="1" s="64"/>
    <row r="16" ht="21.75" customHeight="1" s="64"/>
    <row r="17" ht="21.75" customHeight="1" s="64"/>
  </sheetData>
  <mergeCells count="3">
    <mergeCell ref="A9:H9"/>
    <mergeCell ref="A3:H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63" min="1" max="1"/>
    <col width="10" customWidth="1" style="63" min="2" max="2"/>
    <col width="14" customWidth="1" style="63" min="3" max="5"/>
    <col width="10" customWidth="1" style="63" min="6" max="7"/>
    <col width="14" customWidth="1" style="63" min="8" max="8"/>
    <col width="16" customWidth="1" style="63" min="9" max="9"/>
    <col width="2" customWidth="1" style="63" min="10" max="10"/>
    <col width="36" customWidth="1" style="63" min="11" max="11"/>
  </cols>
  <sheetData>
    <row r="1" ht="30" customHeight="1" s="64">
      <c r="A1" s="105" t="inlineStr">
        <is>
          <t>Month by month</t>
        </is>
      </c>
    </row>
    <row r="3" ht="16.5" customHeight="1" s="64">
      <c r="A3" s="106" t="inlineStr">
        <is>
          <t>Month</t>
        </is>
      </c>
      <c r="B3" s="107" t="inlineStr">
        <is>
          <t>Sales</t>
        </is>
      </c>
      <c r="C3" s="107" t="inlineStr">
        <is>
          <t>Revenue</t>
        </is>
      </c>
      <c r="D3" s="107" t="inlineStr">
        <is>
          <t>Spent</t>
        </is>
      </c>
      <c r="E3" s="107" t="inlineStr">
        <is>
          <t>Profit</t>
        </is>
      </c>
      <c r="F3" s="107" t="inlineStr">
        <is>
          <t>Margin</t>
        </is>
      </c>
      <c r="G3" s="107" t="inlineStr">
        <is>
          <t>Losses</t>
        </is>
      </c>
      <c r="H3" s="107" t="inlineStr">
        <is>
          <t>MoM rev Δ</t>
        </is>
      </c>
      <c r="I3" s="107" t="inlineStr">
        <is>
          <t>Running profit</t>
        </is>
      </c>
      <c r="J3" s="106" t="n"/>
      <c r="K3" s="116" t="n"/>
    </row>
    <row r="4" ht="25.5" customHeight="1" s="64">
      <c r="A4" s="112" t="inlineStr">
        <is>
          <t>Jun 2025</t>
        </is>
      </c>
      <c r="B4" s="117" t="n">
        <v>47</v>
      </c>
      <c r="C4" s="85" t="n">
        <v>2451</v>
      </c>
      <c r="D4" s="85" t="n">
        <v>1871</v>
      </c>
      <c r="E4" s="114" t="n">
        <v>580</v>
      </c>
      <c r="F4" s="87" t="n">
        <v>0.223</v>
      </c>
      <c r="G4" s="117" t="n">
        <v>6</v>
      </c>
      <c r="H4" s="86" t="n"/>
      <c r="I4" s="85" t="n">
        <v>580</v>
      </c>
      <c r="J4" s="115" t="inlineStr">
        <is>
          <t>Getting started. Prismatic Evolutions ETBs and older sets. Overpaid on a few - tightened sourcing rules after 4 losses.</t>
        </is>
      </c>
      <c r="K4" s="84" t="n"/>
    </row>
    <row r="5" ht="25.5" customHeight="1" s="64">
      <c r="A5" s="108" t="inlineStr">
        <is>
          <t>Jul 2025</t>
        </is>
      </c>
      <c r="B5" s="118" t="n">
        <v>60</v>
      </c>
      <c r="C5" s="91" t="n">
        <v>3671</v>
      </c>
      <c r="D5" s="91" t="n">
        <v>2735</v>
      </c>
      <c r="E5" s="110" t="n">
        <v>936</v>
      </c>
      <c r="F5" s="93" t="n">
        <v>0.249</v>
      </c>
      <c r="G5" s="118" t="n">
        <v>3</v>
      </c>
      <c r="H5" s="92">
        <f>C5-C4</f>
        <v/>
      </c>
      <c r="I5" s="91" t="n">
        <v>1517</v>
      </c>
      <c r="J5" s="111" t="inlineStr">
        <is>
          <t>Best month by far. Black Bolt and White Flare dropped July 18 - demand was immediate. Bought early and sold at peak.</t>
        </is>
      </c>
      <c r="K5" s="90" t="n"/>
    </row>
    <row r="6" ht="25.5" customHeight="1" s="64">
      <c r="A6" s="112" t="inlineStr">
        <is>
          <t>Aug 2025</t>
        </is>
      </c>
      <c r="B6" s="117" t="n">
        <v>49</v>
      </c>
      <c r="C6" s="85" t="n">
        <v>2809</v>
      </c>
      <c r="D6" s="85" t="n">
        <v>2180</v>
      </c>
      <c r="E6" s="114" t="n">
        <v>629</v>
      </c>
      <c r="F6" s="87" t="n">
        <v>0.197</v>
      </c>
      <c r="G6" s="117" t="n">
        <v>7</v>
      </c>
      <c r="H6" s="86">
        <f>C6-C5</f>
        <v/>
      </c>
      <c r="I6" s="85" t="n">
        <v>2146</v>
      </c>
      <c r="J6" s="115" t="inlineStr">
        <is>
          <t>Continued selling BB/WF as supply improved slightly. Margins compressed a bit but volume stayed strong.</t>
        </is>
      </c>
      <c r="K6" s="84" t="n"/>
    </row>
    <row r="7" ht="25.5" customHeight="1" s="64">
      <c r="A7" s="108" t="inlineStr">
        <is>
          <t>Sep 2025</t>
        </is>
      </c>
      <c r="B7" s="118" t="n">
        <v>55</v>
      </c>
      <c r="C7" s="91" t="n">
        <v>3123</v>
      </c>
      <c r="D7" s="91" t="n">
        <v>2358</v>
      </c>
      <c r="E7" s="110" t="n">
        <v>765</v>
      </c>
      <c r="F7" s="93" t="n">
        <v>0.225</v>
      </c>
      <c r="G7" s="118" t="n">
        <v>6</v>
      </c>
      <c r="H7" s="92">
        <f>C7-C6</f>
        <v/>
      </c>
      <c r="I7" s="91" t="n">
        <v>2911</v>
      </c>
      <c r="J7" s="111" t="inlineStr">
        <is>
          <t>Wind-down month. Clearing remaining stock. Older sets like Stellar Crown and Surging Sparks bundles still moving.</t>
        </is>
      </c>
      <c r="K7" s="90" t="n"/>
    </row>
    <row r="8" ht="19.5" customHeight="1" s="64">
      <c r="A8" s="101" t="inlineStr">
        <is>
          <t>Total</t>
        </is>
      </c>
      <c r="B8" s="104">
        <f>SUM(B4:B7)</f>
        <v/>
      </c>
      <c r="C8" s="103">
        <f>SUM(C4:C7)</f>
        <v/>
      </c>
      <c r="D8" s="103">
        <f>SUM(D4:D7)</f>
        <v/>
      </c>
      <c r="E8" s="119">
        <f>SUM(E4:E7)</f>
        <v/>
      </c>
      <c r="F8" s="104" t="n"/>
      <c r="G8" s="104" t="n"/>
      <c r="H8" s="104" t="n"/>
      <c r="I8" s="104" t="n"/>
      <c r="J8" s="104" t="n"/>
      <c r="K8" s="104" t="n"/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3" min="1" max="1"/>
    <col width="10" customWidth="1" style="63" min="2" max="2"/>
    <col width="14" customWidth="1" style="63" min="3" max="5"/>
    <col width="10" customWidth="1" style="63" min="6" max="6"/>
    <col width="14" customWidth="1" style="63" min="7" max="7"/>
    <col width="2" customWidth="1" style="63" min="8" max="8"/>
    <col width="28" customWidth="1" style="63" min="9" max="9"/>
    <col width="36" customWidth="1" style="63" min="10" max="10"/>
  </cols>
  <sheetData>
    <row r="1" ht="30" customHeight="1" s="64">
      <c r="A1" s="105" t="inlineStr">
        <is>
          <t>Platform breakdown</t>
        </is>
      </c>
    </row>
    <row r="3" ht="16.5" customHeight="1" s="64">
      <c r="A3" s="106" t="inlineStr">
        <is>
          <t>Platform</t>
        </is>
      </c>
      <c r="B3" s="107" t="inlineStr">
        <is>
          <t>Sales</t>
        </is>
      </c>
      <c r="C3" s="107" t="inlineStr">
        <is>
          <t>Revenue</t>
        </is>
      </c>
      <c r="D3" s="107" t="inlineStr">
        <is>
          <t>Cost</t>
        </is>
      </c>
      <c r="E3" s="107" t="inlineStr">
        <is>
          <t>Profit</t>
        </is>
      </c>
      <c r="F3" s="107" t="inlineStr">
        <is>
          <t>Margin</t>
        </is>
      </c>
      <c r="G3" s="107" t="inlineStr">
        <is>
          <t>Avg sale</t>
        </is>
      </c>
      <c r="H3" s="106" t="n"/>
      <c r="I3" s="106" t="inlineStr">
        <is>
          <t>What I sold</t>
        </is>
      </c>
      <c r="J3" s="106" t="inlineStr">
        <is>
          <t>How I priced it</t>
        </is>
      </c>
    </row>
    <row r="4" ht="25.5" customHeight="1" s="64">
      <c r="A4" s="112" t="inlineStr">
        <is>
          <t>eBay</t>
        </is>
      </c>
      <c r="B4" s="117" t="n">
        <v>111</v>
      </c>
      <c r="C4" s="85" t="n">
        <v>6621.62</v>
      </c>
      <c r="D4" s="85" t="n">
        <v>5082.42</v>
      </c>
      <c r="E4" s="114" t="n">
        <v>1539.2</v>
      </c>
      <c r="F4" s="87" t="n">
        <v>0.22</v>
      </c>
      <c r="G4" s="85" t="n">
        <v>59.65</v>
      </c>
      <c r="H4" s="84" t="n"/>
      <c r="I4" s="120" t="inlineStr">
        <is>
          <t>ETBs, booster bundles, tins - highest-value items</t>
        </is>
      </c>
      <c r="J4" s="115" t="inlineStr">
        <is>
          <t>BIN just under market. Auctioned anything rare or new-release.</t>
        </is>
      </c>
    </row>
    <row r="5" ht="25.5" customHeight="1" s="64">
      <c r="A5" s="108" t="inlineStr">
        <is>
          <t>TCGPlayer</t>
        </is>
      </c>
      <c r="B5" s="118" t="n">
        <v>71</v>
      </c>
      <c r="C5" s="91" t="n">
        <v>3905.46</v>
      </c>
      <c r="D5" s="91" t="n">
        <v>2976.02</v>
      </c>
      <c r="E5" s="110" t="n">
        <v>929.4400000000001</v>
      </c>
      <c r="F5" s="93" t="n">
        <v>0.213</v>
      </c>
      <c r="G5" s="91" t="n">
        <v>55.01</v>
      </c>
      <c r="H5" s="90" t="n"/>
      <c r="I5" s="121" t="inlineStr">
        <is>
          <t>Booster bundles and ETBs - listed at TCG Low to move fast</t>
        </is>
      </c>
      <c r="J5" s="111" t="inlineStr">
        <is>
          <t>Matched TCG Low on NM copies to show up first in search.</t>
        </is>
      </c>
    </row>
    <row r="6" ht="25.5" customHeight="1" s="64">
      <c r="A6" s="112" t="inlineStr">
        <is>
          <t>Facebook Marketplace</t>
        </is>
      </c>
      <c r="B6" s="117" t="n">
        <v>29</v>
      </c>
      <c r="C6" s="85" t="n">
        <v>1527.99</v>
      </c>
      <c r="D6" s="85" t="n">
        <v>1085.74</v>
      </c>
      <c r="E6" s="114" t="n">
        <v>442.25</v>
      </c>
      <c r="F6" s="87" t="n">
        <v>0.275</v>
      </c>
      <c r="G6" s="85" t="n">
        <v>52.69</v>
      </c>
      <c r="H6" s="84" t="n"/>
      <c r="I6" s="120" t="inlineStr">
        <is>
          <t>Sealed bundles, local cash pickups for heavier lots</t>
        </is>
      </c>
      <c r="J6" s="115" t="inlineStr">
        <is>
          <t>Bundled items, cash only, local pickup on heavy boxes.</t>
        </is>
      </c>
    </row>
    <row r="7" ht="19.5" customHeight="1" s="64">
      <c r="A7" s="101" t="inlineStr">
        <is>
          <t>Total</t>
        </is>
      </c>
      <c r="B7" s="104">
        <f>SUM(B4:B6)</f>
        <v/>
      </c>
      <c r="C7" s="103">
        <f>SUM(C4:C6)</f>
        <v/>
      </c>
      <c r="D7" s="103">
        <f>SUM(D4:D6)</f>
        <v/>
      </c>
      <c r="E7" s="119">
        <f>SUM(E4:E6)</f>
        <v/>
      </c>
      <c r="F7" s="104" t="n"/>
      <c r="G7" s="104" t="n"/>
      <c r="H7" s="104" t="n"/>
      <c r="I7" s="104" t="n"/>
      <c r="J7" s="104" t="n"/>
    </row>
    <row r="9" ht="9.75" customHeight="1" s="64"/>
    <row r="10" ht="21.75" customHeight="1" s="64">
      <c r="A10" s="74" t="inlineStr">
        <is>
          <t>Pricing notes</t>
        </is>
      </c>
      <c r="B10" s="75" t="n"/>
      <c r="C10" s="75" t="n"/>
      <c r="D10" s="75" t="n"/>
      <c r="E10" s="75" t="n"/>
      <c r="F10" s="75" t="n"/>
      <c r="G10" s="75" t="n"/>
      <c r="H10" s="75" t="n"/>
      <c r="I10" s="75" t="n"/>
      <c r="J10" s="75" t="n"/>
    </row>
    <row r="11" ht="15.75" customHeight="1" s="64">
      <c r="A11" s="122" t="inlineStr">
        <is>
          <t>#</t>
        </is>
      </c>
      <c r="B11" s="122" t="inlineStr">
        <is>
          <t>What I did</t>
        </is>
      </c>
      <c r="C11" s="123" t="n"/>
      <c r="D11" s="123" t="n"/>
      <c r="E11" s="123" t="n"/>
      <c r="F11" s="122" t="inlineStr">
        <is>
          <t>Why it worked</t>
        </is>
      </c>
      <c r="G11" s="123" t="n"/>
      <c r="H11" s="123" t="n"/>
      <c r="I11" s="123" t="n"/>
      <c r="J11" s="123" t="n"/>
    </row>
    <row r="12" ht="25.5" customHeight="1" s="64">
      <c r="A12" s="124" t="inlineStr">
        <is>
          <t>1</t>
        </is>
      </c>
      <c r="B12" s="125" t="inlineStr">
        <is>
          <t>Listed sealed products slightly under TCGPlayer/eBay market price</t>
        </is>
      </c>
      <c r="C12" s="77" t="n"/>
      <c r="D12" s="77" t="n"/>
      <c r="E12" s="77" t="n"/>
      <c r="F12" s="115" t="inlineStr">
        <is>
          <t>Moved faster. Being the cheapest NM copy in search gets you sold first.</t>
        </is>
      </c>
      <c r="G12" s="77" t="n"/>
      <c r="H12" s="77" t="n"/>
      <c r="I12" s="77" t="n"/>
      <c r="J12" s="77" t="n"/>
    </row>
    <row r="13" ht="25.5" customHeight="1" s="64">
      <c r="A13" s="126" t="inlineStr">
        <is>
          <t>2</t>
        </is>
      </c>
      <c r="B13" s="127" t="inlineStr">
        <is>
          <t>Listed new-release ETBs as BIN at launch - demand was highest in the first 2 weeks</t>
        </is>
      </c>
      <c r="C13" s="77" t="n"/>
      <c r="D13" s="77" t="n"/>
      <c r="E13" s="77" t="n"/>
      <c r="F13" s="111" t="inlineStr">
        <is>
          <t>New-release sealed (BB/WF ETBs especially) sometimes closed above standard BIN prices</t>
        </is>
      </c>
      <c r="G13" s="77" t="n"/>
      <c r="H13" s="77" t="n"/>
      <c r="I13" s="77" t="n"/>
      <c r="J13" s="77" t="n"/>
    </row>
    <row r="14" ht="25.5" customHeight="1" s="64">
      <c r="A14" s="124" t="inlineStr">
        <is>
          <t>3</t>
        </is>
      </c>
      <c r="B14" s="125" t="inlineStr">
        <is>
          <t>Bundled sealed on Facebook Marketplace</t>
        </is>
      </c>
      <c r="C14" s="77" t="n"/>
      <c r="D14" s="77" t="n"/>
      <c r="E14" s="77" t="n"/>
      <c r="F14" s="115" t="inlineStr">
        <is>
          <t>People want a deal. Bundles moved faster and I avoided fees on cash sales.</t>
        </is>
      </c>
      <c r="G14" s="77" t="n"/>
      <c r="H14" s="77" t="n"/>
      <c r="I14" s="77" t="n"/>
      <c r="J14" s="77" t="n"/>
    </row>
    <row r="15" ht="25.5" customHeight="1" s="64">
      <c r="A15" s="126" t="inlineStr">
        <is>
          <t>4</t>
        </is>
      </c>
      <c r="B15" s="127" t="inlineStr">
        <is>
          <t>Stopped buying anything above ~65-70% of sell price</t>
        </is>
      </c>
      <c r="C15" s="77" t="n"/>
      <c r="D15" s="77" t="n"/>
      <c r="E15" s="77" t="n"/>
      <c r="F15" s="111" t="inlineStr">
        <is>
          <t>After early losses I stuck to buying below 65-70% of expected sell price. No losses from overpaying after that.</t>
        </is>
      </c>
      <c r="G15" s="77" t="n"/>
      <c r="H15" s="77" t="n"/>
      <c r="I15" s="77" t="n"/>
      <c r="J15" s="77" t="n"/>
    </row>
    <row r="16" ht="25.5" customHeight="1" s="64">
      <c r="A16" s="124" t="inlineStr">
        <is>
          <t>5</t>
        </is>
      </c>
      <c r="B16" s="125" t="inlineStr">
        <is>
          <t>Repriced anything sitting over 2 weeks</t>
        </is>
      </c>
      <c r="C16" s="77" t="n"/>
      <c r="D16" s="77" t="n"/>
      <c r="E16" s="77" t="n"/>
      <c r="F16" s="115" t="inlineStr">
        <is>
          <t>Dead stock ties up cash. Usually a small drop got it sold within a few days.</t>
        </is>
      </c>
      <c r="G16" s="77" t="n"/>
      <c r="H16" s="77" t="n"/>
      <c r="I16" s="77" t="n"/>
      <c r="J16" s="77" t="n"/>
    </row>
  </sheetData>
  <mergeCells count="14">
    <mergeCell ref="A1:J1"/>
    <mergeCell ref="F15:J15"/>
    <mergeCell ref="F11:J11"/>
    <mergeCell ref="F12:J12"/>
    <mergeCell ref="B12:E12"/>
    <mergeCell ref="B13:E13"/>
    <mergeCell ref="F16:J16"/>
    <mergeCell ref="B16:E16"/>
    <mergeCell ref="B15:E15"/>
    <mergeCell ref="B11:E11"/>
    <mergeCell ref="F14:J14"/>
    <mergeCell ref="A10:J10"/>
    <mergeCell ref="F13:J13"/>
    <mergeCell ref="B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2026-03-08T03:02:11Z</dcterms:created>
  <dcterms:modified xmlns:dcterms="http://purl.org/dc/terms/" xmlns:xsi="http://www.w3.org/2001/XMLSchema-instance" xsi:type="dcterms:W3CDTF">2026-03-12T00:37:12Z</dcterms:modified>
  <cp:revision>7</cp:revision>
</cp:coreProperties>
</file>